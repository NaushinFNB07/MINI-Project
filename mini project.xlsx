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92EE920C-A228-494E-917D-1B4C9D409AED}" xr6:coauthVersionLast="36" xr6:coauthVersionMax="36" xr10:uidLastSave="{00000000-0000-0000-0000-000000000000}"/>
  <bookViews>
    <workbookView xWindow="0" yWindow="0" windowWidth="15345" windowHeight="5865" xr2:uid="{F825BEDA-AB9F-4AEF-891F-7B20A9BCD578}"/>
  </bookViews>
  <sheets>
    <sheet name="Sheet6" sheetId="6" r:id="rId1"/>
    <sheet name="Sheet7" sheetId="7" r:id="rId2"/>
    <sheet name="Sheet8" sheetId="8" r:id="rId3"/>
    <sheet name="Sheet1" sheetId="9" r:id="rId4"/>
  </sheets>
  <definedNames>
    <definedName name="Amount">Sheet8!$A$1:$B$15</definedName>
    <definedName name="ExternalData_4" localSheetId="3" hidden="1">Sheet1!$A$1:$W$563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64" i="9" l="1"/>
  <c r="C564" i="9"/>
  <c r="D564" i="9"/>
  <c r="E564" i="9"/>
  <c r="F564" i="9"/>
  <c r="G564" i="9"/>
  <c r="H564" i="9"/>
  <c r="I564" i="9"/>
  <c r="J564" i="9"/>
  <c r="K564" i="9"/>
  <c r="L564" i="9"/>
  <c r="M564" i="9"/>
  <c r="N564" i="9"/>
  <c r="O564" i="9"/>
  <c r="P564" i="9"/>
  <c r="Q564" i="9"/>
  <c r="R564" i="9"/>
  <c r="S564" i="9"/>
  <c r="T564" i="9"/>
  <c r="U564" i="9"/>
  <c r="V564" i="9"/>
  <c r="W564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03A461-1C92-4522-9F4F-9FA555BE5E8E}" keepAlive="1" name="Query - Table1" description="Connection to the 'Table1' query in the workbook." type="5" refreshedVersion="6" background="1">
    <dbPr connection="Provider=Microsoft.Mashup.OleDb.1;Data Source=$Workbook$;Location=Table1;Extended Properties=&quot;&quot;" command="SELECT * FROM [Table1]"/>
  </connection>
  <connection id="2" xr16:uid="{F71C0C9B-A186-47D1-A257-308ACB245392}" keepAlive="1" name="Query - Table1_2" description="Connection to the 'Table1_2' query in the workbook." type="5" refreshedVersion="6" background="1" saveData="1">
    <dbPr connection="Provider=Microsoft.Mashup.OleDb.1;Data Source=$Workbook$;Location=Table1_2;Extended Properties=&quot;&quot;" command="SELECT * FROM [Table1_2]"/>
  </connection>
  <connection id="3" xr16:uid="{879F01A2-AA80-45BD-B698-B3CA389831B7}" keepAlive="1" name="Query - Table1_2 (2)" description="Connection to the 'Table1_2 (2)' query in the workbook." type="5" refreshedVersion="6" background="1" saveData="1">
    <dbPr connection="Provider=Microsoft.Mashup.OleDb.1;Data Source=$Workbook$;Location=Table1_2 (2);Extended Properties=&quot;&quot;" command="SELECT * FROM [Table1_2 (2)]"/>
  </connection>
  <connection id="4" xr16:uid="{14E49C09-5A3E-4F88-994C-60905D9C8409}" keepAlive="1" name="Query - Table1_2__2" description="Connection to the 'Table1_2__2' query in the workbook." type="5" refreshedVersion="6" background="1" saveData="1">
    <dbPr connection="Provider=Microsoft.Mashup.OleDb.1;Data Source=$Workbook$;Location=Table1_2__2;Extended Properties=&quot;&quot;" command="SELECT * FROM [Table1_2__2]"/>
  </connection>
  <connection id="5" xr16:uid="{905F35D8-2A9E-4B7C-AC3F-8480C1E5033A}" keepAlive="1" name="Query - Table1_2__3" description="Connection to the 'Table1_2__3' query in the workbook." type="5" refreshedVersion="6" background="1" saveData="1">
    <dbPr connection="Provider=Microsoft.Mashup.OleDb.1;Data Source=$Workbook$;Location=Table1_2__3;Extended Properties=&quot;&quot;" command="SELECT * FROM [Table1_2__3]"/>
  </connection>
</connections>
</file>

<file path=xl/sharedStrings.xml><?xml version="1.0" encoding="utf-8"?>
<sst xmlns="http://schemas.openxmlformats.org/spreadsheetml/2006/main" count="8706" uniqueCount="2507">
  <si>
    <t>TransactionID</t>
  </si>
  <si>
    <t>Date</t>
  </si>
  <si>
    <t>AccountID</t>
  </si>
  <si>
    <t>AccountName</t>
  </si>
  <si>
    <t>TransactionType</t>
  </si>
  <si>
    <t>Amount</t>
  </si>
  <si>
    <t>Currency</t>
  </si>
  <si>
    <t>ExchangeRate</t>
  </si>
  <si>
    <t>Balance</t>
  </si>
  <si>
    <t>Merchant</t>
  </si>
  <si>
    <t>MerchantPhone</t>
  </si>
  <si>
    <t>MerchantEmail</t>
  </si>
  <si>
    <t>Category</t>
  </si>
  <si>
    <t>Subcategory</t>
  </si>
  <si>
    <t>Country</t>
  </si>
  <si>
    <t>City</t>
  </si>
  <si>
    <t>PostalCode</t>
  </si>
  <si>
    <t>CardNumber</t>
  </si>
  <si>
    <t>Email</t>
  </si>
  <si>
    <t>Phone</t>
  </si>
  <si>
    <t>IsFraud</t>
  </si>
  <si>
    <t>Notes</t>
  </si>
  <si>
    <t>CustomerSince</t>
  </si>
  <si>
    <t>Arjun Sharma</t>
  </si>
  <si>
    <t>Debit</t>
  </si>
  <si>
    <t xml:space="preserve">USD </t>
  </si>
  <si>
    <t>ShopEasy</t>
  </si>
  <si>
    <t>shopeasy@biz.com</t>
  </si>
  <si>
    <t>Education</t>
  </si>
  <si>
    <t>Books</t>
  </si>
  <si>
    <t>UK</t>
  </si>
  <si>
    <t>Pune</t>
  </si>
  <si>
    <t>XXXX-XXXX-XXXX-4249</t>
  </si>
  <si>
    <t>arjun.sharma@hotmail.com</t>
  </si>
  <si>
    <t>No</t>
  </si>
  <si>
    <t>TX101874</t>
  </si>
  <si>
    <t>AC8970</t>
  </si>
  <si>
    <t>Dev Kumar</t>
  </si>
  <si>
    <t>AutoZone</t>
  </si>
  <si>
    <t>autozone@biz.com</t>
  </si>
  <si>
    <t>Entertainment</t>
  </si>
  <si>
    <t>Concert</t>
  </si>
  <si>
    <t>Australia</t>
  </si>
  <si>
    <t>Delhi</t>
  </si>
  <si>
    <t>XXXX-XXXX-5979</t>
  </si>
  <si>
    <t>dev.kumar@yahoo.com</t>
  </si>
  <si>
    <t>Amit Gupta</t>
  </si>
  <si>
    <t>GBP</t>
  </si>
  <si>
    <t>BigBasket</t>
  </si>
  <si>
    <t>bigbasket@biz.com</t>
  </si>
  <si>
    <t>Groceries</t>
  </si>
  <si>
    <t>Specialty</t>
  </si>
  <si>
    <t>USA</t>
  </si>
  <si>
    <t>Gurugram</t>
  </si>
  <si>
    <t>Ritu Roy</t>
  </si>
  <si>
    <t>Refund</t>
  </si>
  <si>
    <t>AED</t>
  </si>
  <si>
    <t>Dining</t>
  </si>
  <si>
    <t>Restaurant</t>
  </si>
  <si>
    <t>Mumbai</t>
  </si>
  <si>
    <t>Raj Bose</t>
  </si>
  <si>
    <t>USD</t>
  </si>
  <si>
    <t>LocalMart</t>
  </si>
  <si>
    <t>FastFood</t>
  </si>
  <si>
    <t>raj.bose@hotmail.com</t>
  </si>
  <si>
    <t>Maya Patel</t>
  </si>
  <si>
    <t>INR</t>
  </si>
  <si>
    <t>Amazon</t>
  </si>
  <si>
    <t>Utilities</t>
  </si>
  <si>
    <t>Electricity</t>
  </si>
  <si>
    <t>India</t>
  </si>
  <si>
    <t>Hyderabad</t>
  </si>
  <si>
    <t>Dev Iyer</t>
  </si>
  <si>
    <t>Credit</t>
  </si>
  <si>
    <t>Starbucks</t>
  </si>
  <si>
    <t>Jaipur</t>
  </si>
  <si>
    <t>Priya Mehta</t>
  </si>
  <si>
    <t>Travel</t>
  </si>
  <si>
    <t>Flight</t>
  </si>
  <si>
    <t>UAE</t>
  </si>
  <si>
    <t>Neha Roy</t>
  </si>
  <si>
    <t>Myntra</t>
  </si>
  <si>
    <t>myntra@biz.com</t>
  </si>
  <si>
    <t>Automotive</t>
  </si>
  <si>
    <t>Fuel</t>
  </si>
  <si>
    <t>neha.roy@hotmail.com</t>
  </si>
  <si>
    <t>Reliance</t>
  </si>
  <si>
    <t>Health</t>
  </si>
  <si>
    <t>Clinic</t>
  </si>
  <si>
    <t>Raj Reddy</t>
  </si>
  <si>
    <t>Raj Kumar</t>
  </si>
  <si>
    <t>Zomato</t>
  </si>
  <si>
    <t>zomato@biz.com</t>
  </si>
  <si>
    <t>Noida</t>
  </si>
  <si>
    <t>raj.kumar@gmail.com</t>
  </si>
  <si>
    <t>Dev Bose</t>
  </si>
  <si>
    <t>Flipkart</t>
  </si>
  <si>
    <t>flipkart@biz.com</t>
  </si>
  <si>
    <t>Paytm Mall</t>
  </si>
  <si>
    <t>paytmmall@biz.com</t>
  </si>
  <si>
    <t>Canada</t>
  </si>
  <si>
    <t>Lina Chopra</t>
  </si>
  <si>
    <t>Walmart</t>
  </si>
  <si>
    <t>AC3643</t>
  </si>
  <si>
    <t>Sana Kumar</t>
  </si>
  <si>
    <t>starbucks@biz.com</t>
  </si>
  <si>
    <t>Streaming</t>
  </si>
  <si>
    <t>Bengaluru</t>
  </si>
  <si>
    <t>TX105440</t>
  </si>
  <si>
    <t>AC3521</t>
  </si>
  <si>
    <t>Asha Das</t>
  </si>
  <si>
    <t>Supermarket</t>
  </si>
  <si>
    <t>asha.das@gmail.com</t>
  </si>
  <si>
    <t>Suresh Khan</t>
  </si>
  <si>
    <t>Internet</t>
  </si>
  <si>
    <t>Lina Khan</t>
  </si>
  <si>
    <t>ElectroWorld</t>
  </si>
  <si>
    <t>Repair</t>
  </si>
  <si>
    <t>Raj Sharma</t>
  </si>
  <si>
    <t>Course</t>
  </si>
  <si>
    <t>raj.sharma@yahoo.com</t>
  </si>
  <si>
    <t>Electronics</t>
  </si>
  <si>
    <t>Laptop</t>
  </si>
  <si>
    <t>Dev Chopra</t>
  </si>
  <si>
    <t>dev.chopra@yahoo.com</t>
  </si>
  <si>
    <t>Rohit Kumar</t>
  </si>
  <si>
    <t>Chennai</t>
  </si>
  <si>
    <t>rohit.kumar@hotmail.com</t>
  </si>
  <si>
    <t>Swiggy</t>
  </si>
  <si>
    <t>swiggy@biz.com</t>
  </si>
  <si>
    <t>Anita Gupta</t>
  </si>
  <si>
    <t>localmart@biz.com</t>
  </si>
  <si>
    <t>anita.gupta@gmail.com</t>
  </si>
  <si>
    <t>Neha Nair</t>
  </si>
  <si>
    <t>electroworld@biz.com</t>
  </si>
  <si>
    <t>Uma Iyer</t>
  </si>
  <si>
    <t>Taxi</t>
  </si>
  <si>
    <t>uma.iyer@example.com</t>
  </si>
  <si>
    <t>Amit Patel</t>
  </si>
  <si>
    <t>Movies</t>
  </si>
  <si>
    <t>Maya Joshi</t>
  </si>
  <si>
    <t>TX102732</t>
  </si>
  <si>
    <t>AC8986</t>
  </si>
  <si>
    <t>Karan Bose</t>
  </si>
  <si>
    <t>XXXX-XXXX-1048</t>
  </si>
  <si>
    <t>karan.bose@gmail.com</t>
  </si>
  <si>
    <t>Asha Patel</t>
  </si>
  <si>
    <t>Clothing</t>
  </si>
  <si>
    <t>Men</t>
  </si>
  <si>
    <t>Dev Reddy</t>
  </si>
  <si>
    <t>walmart@biz.com</t>
  </si>
  <si>
    <t>Pharmacy</t>
  </si>
  <si>
    <t>Priya Das</t>
  </si>
  <si>
    <t>Kolkata</t>
  </si>
  <si>
    <t>Rahul Das</t>
  </si>
  <si>
    <t>Women</t>
  </si>
  <si>
    <t>rahul.das@gmail.com</t>
  </si>
  <si>
    <t>Priya Roy</t>
  </si>
  <si>
    <t>Asha Sharma</t>
  </si>
  <si>
    <t>asha.sharma@yahoo.com</t>
  </si>
  <si>
    <t>Dev Joshi</t>
  </si>
  <si>
    <t>Priya Iyer</t>
  </si>
  <si>
    <t>priya.iyer@hotmail.com</t>
  </si>
  <si>
    <t>Vikram Iyer</t>
  </si>
  <si>
    <t>vikram.iyer@example.com</t>
  </si>
  <si>
    <t>maya.joshi@hotmail.com</t>
  </si>
  <si>
    <t>TX103893</t>
  </si>
  <si>
    <t>AC4141</t>
  </si>
  <si>
    <t>XXXX-XXXX-XXXX-9148</t>
  </si>
  <si>
    <t>sana.kumar@gmail.com</t>
  </si>
  <si>
    <t>Amit Reddy</t>
  </si>
  <si>
    <t>amit.reddy@yahoo.com</t>
  </si>
  <si>
    <t>Amit Das</t>
  </si>
  <si>
    <t>Yes</t>
  </si>
  <si>
    <t>Raj Joshi</t>
  </si>
  <si>
    <t>raj.joshi@gmail.com</t>
  </si>
  <si>
    <t>Raj Gupta</t>
  </si>
  <si>
    <t>Vikram Joshi</t>
  </si>
  <si>
    <t>amazon@biz.com</t>
  </si>
  <si>
    <t>Ritu Bose</t>
  </si>
  <si>
    <t>Asha Roy</t>
  </si>
  <si>
    <t>reliance@biz.com</t>
  </si>
  <si>
    <t>Sam Mehta</t>
  </si>
  <si>
    <t>Sam Roy</t>
  </si>
  <si>
    <t>Rahul Bose</t>
  </si>
  <si>
    <t>rahul.bose@example.com</t>
  </si>
  <si>
    <t>Sana Singh</t>
  </si>
  <si>
    <t>sana.singh@yahoo.com</t>
  </si>
  <si>
    <t>TX100183</t>
  </si>
  <si>
    <t>AC2061</t>
  </si>
  <si>
    <t>Priya Singh</t>
  </si>
  <si>
    <t>XXXX-XXXX-2396</t>
  </si>
  <si>
    <t>priya.singh@yahoocom</t>
  </si>
  <si>
    <t>Anita Iyer</t>
  </si>
  <si>
    <t>anita.iyer@hotmail.com</t>
  </si>
  <si>
    <t>Rohit Reddy</t>
  </si>
  <si>
    <t>rohit.reddy@example.com</t>
  </si>
  <si>
    <t>AC3148</t>
  </si>
  <si>
    <t>Lina Patel</t>
  </si>
  <si>
    <t>lina.patel@example.com</t>
  </si>
  <si>
    <t>Raj Chopra</t>
  </si>
  <si>
    <t>Ritu Chopra</t>
  </si>
  <si>
    <t>ritu.chopra@gmail.com</t>
  </si>
  <si>
    <t>Asha Reddy</t>
  </si>
  <si>
    <t>Neha Patel</t>
  </si>
  <si>
    <t>neha.patel@hotmail.com</t>
  </si>
  <si>
    <t>Suresh Joshi</t>
  </si>
  <si>
    <t>suresh.joshi@yahoo.com</t>
  </si>
  <si>
    <t>Karan Joshi</t>
  </si>
  <si>
    <t>Cafe</t>
  </si>
  <si>
    <t>karan.joshi@gmail.com</t>
  </si>
  <si>
    <t>Ritu Singh</t>
  </si>
  <si>
    <t>ritu.singh@example.com</t>
  </si>
  <si>
    <t>Mobile</t>
  </si>
  <si>
    <t>uma.das@hotmail.com</t>
  </si>
  <si>
    <t>Amit Mehta</t>
  </si>
  <si>
    <t>AC6735</t>
  </si>
  <si>
    <t>Lina Sharma</t>
  </si>
  <si>
    <t>lina.sharma@gmail.com</t>
  </si>
  <si>
    <t>Raj Das</t>
  </si>
  <si>
    <t>Uma Bose</t>
  </si>
  <si>
    <t>uma.bose@hotmail.com</t>
  </si>
  <si>
    <t>Accessory</t>
  </si>
  <si>
    <t>AC9656</t>
  </si>
  <si>
    <t>Sana Khan</t>
  </si>
  <si>
    <t>Vikram Reddy</t>
  </si>
  <si>
    <t>vikram.reddy@yahoo.com</t>
  </si>
  <si>
    <t>TX104603</t>
  </si>
  <si>
    <t>AC8468</t>
  </si>
  <si>
    <t>XXXX-XXXX-XXXX-1466</t>
  </si>
  <si>
    <t>dev.iyer@gmail.com</t>
  </si>
  <si>
    <t>Asha Desai</t>
  </si>
  <si>
    <t>XXXX-XXXX-6938</t>
  </si>
  <si>
    <t>TX101741</t>
  </si>
  <si>
    <t>Maya Singh</t>
  </si>
  <si>
    <t>XXXX-XXXX-XXXX-9786</t>
  </si>
  <si>
    <t>maya.singh@yahoo.com</t>
  </si>
  <si>
    <t>TX105025</t>
  </si>
  <si>
    <t>AC1619</t>
  </si>
  <si>
    <t>Sam Khan</t>
  </si>
  <si>
    <t>XXXX-XXXX-XXXX-9256</t>
  </si>
  <si>
    <t>sam.khan@gmail.com</t>
  </si>
  <si>
    <t>Karan Gupta</t>
  </si>
  <si>
    <t>AC7221</t>
  </si>
  <si>
    <t>Neha Joshi</t>
  </si>
  <si>
    <t>Karan Das</t>
  </si>
  <si>
    <t>karan.das@example.com</t>
  </si>
  <si>
    <t>Sam Patel</t>
  </si>
  <si>
    <t>XXXX-XXXX-3072</t>
  </si>
  <si>
    <t>Uma Roy</t>
  </si>
  <si>
    <t>uma.roy@example.com</t>
  </si>
  <si>
    <t>Vikram Das</t>
  </si>
  <si>
    <t>vikram.das@example.com</t>
  </si>
  <si>
    <t>Rohit Nair</t>
  </si>
  <si>
    <t>Maya Nair</t>
  </si>
  <si>
    <t>Priya Patel</t>
  </si>
  <si>
    <t>XXXX-XXXX-XXXX-7926</t>
  </si>
  <si>
    <t>priya.patel@example.com</t>
  </si>
  <si>
    <t>Isha Das</t>
  </si>
  <si>
    <t>TX105191</t>
  </si>
  <si>
    <t>AC8838</t>
  </si>
  <si>
    <t>asha.roy@yahoo.com</t>
  </si>
  <si>
    <t>Priya Kumar</t>
  </si>
  <si>
    <t>Dev Patel</t>
  </si>
  <si>
    <t>dev.patel@yahoo.com</t>
  </si>
  <si>
    <t>Uma Patel</t>
  </si>
  <si>
    <t>uma.patel@yahoo.com</t>
  </si>
  <si>
    <t>TX101765</t>
  </si>
  <si>
    <t>AC5866</t>
  </si>
  <si>
    <t>Vikram Khan</t>
  </si>
  <si>
    <t>XXXX-XXXX-6207</t>
  </si>
  <si>
    <t>vikram.khan@yahoo.com</t>
  </si>
  <si>
    <t>XXXX-XXXX-4344</t>
  </si>
  <si>
    <t>rohit.kumar@gmail.com</t>
  </si>
  <si>
    <t>neha.joshi@gmail.com</t>
  </si>
  <si>
    <t>TX100737</t>
  </si>
  <si>
    <t>AC1595</t>
  </si>
  <si>
    <t>Water</t>
  </si>
  <si>
    <t>XXXX-XXXX-3763</t>
  </si>
  <si>
    <t>amit.mehta@yahoo.com</t>
  </si>
  <si>
    <t>Rohit Roy</t>
  </si>
  <si>
    <t>Maya Sharma</t>
  </si>
  <si>
    <t>TX105550</t>
  </si>
  <si>
    <t>AC8647</t>
  </si>
  <si>
    <t>Dev Singh</t>
  </si>
  <si>
    <t>XXXX-XXXX-8661</t>
  </si>
  <si>
    <t>dev.singh@hotmail.com</t>
  </si>
  <si>
    <t>Rahul Mehta</t>
  </si>
  <si>
    <t>rahul.mehta@gmail.com</t>
  </si>
  <si>
    <t>Arjun Roy</t>
  </si>
  <si>
    <t>arjun.roy@hotmail.com</t>
  </si>
  <si>
    <t>Suresh Reddy</t>
  </si>
  <si>
    <t xml:space="preserve">INR </t>
  </si>
  <si>
    <t>suresh.reddy@hotmail.com</t>
  </si>
  <si>
    <t>Raj Patel</t>
  </si>
  <si>
    <t>raj.patel@hotmail.com</t>
  </si>
  <si>
    <t>Rohit Mehta</t>
  </si>
  <si>
    <t>Lina Reddy</t>
  </si>
  <si>
    <t>lina.reddy@hotmail.com</t>
  </si>
  <si>
    <t>Isha Mehta</t>
  </si>
  <si>
    <t>Rohit Joshi</t>
  </si>
  <si>
    <t>rohit.joshi@gmail.com</t>
  </si>
  <si>
    <t>dev.singh@yahoo.com</t>
  </si>
  <si>
    <t>Asha Khan</t>
  </si>
  <si>
    <t>Suresh Bose</t>
  </si>
  <si>
    <t>suresh.bose@hotmail.com</t>
  </si>
  <si>
    <t>Dev Khan</t>
  </si>
  <si>
    <t>Hotel</t>
  </si>
  <si>
    <t>Karan Mehta</t>
  </si>
  <si>
    <t>Sana Reddy</t>
  </si>
  <si>
    <t>TX105707</t>
  </si>
  <si>
    <t>AC7639</t>
  </si>
  <si>
    <t>Maya Gupta</t>
  </si>
  <si>
    <t>maya.gupta@hotmail.com</t>
  </si>
  <si>
    <t>AC8223</t>
  </si>
  <si>
    <t>Suresh Mehta</t>
  </si>
  <si>
    <t>XXXX-XXXX-8834</t>
  </si>
  <si>
    <t>priya.mehta@hotmail.com</t>
  </si>
  <si>
    <t>rohit.nair@gmail.com</t>
  </si>
  <si>
    <t>TX100732</t>
  </si>
  <si>
    <t>AC8625</t>
  </si>
  <si>
    <t>XXXX-XXXX-6868</t>
  </si>
  <si>
    <t>dev.bose@gmail.com</t>
  </si>
  <si>
    <t>Raj Desai</t>
  </si>
  <si>
    <t>TX101521</t>
  </si>
  <si>
    <t>AC4650</t>
  </si>
  <si>
    <t>Amit Chopra</t>
  </si>
  <si>
    <t>XXXX-XXXX-8135</t>
  </si>
  <si>
    <t>amit.chopra@yahoo.com</t>
  </si>
  <si>
    <t>Amit Iyer</t>
  </si>
  <si>
    <t>amit.iyer@hotmail.com</t>
  </si>
  <si>
    <t>Anita Desai</t>
  </si>
  <si>
    <t>Isha Desai</t>
  </si>
  <si>
    <t>isha.desai@hotmail.com</t>
  </si>
  <si>
    <t>Anita Chopra</t>
  </si>
  <si>
    <t>anita.chopra@yahoo.com</t>
  </si>
  <si>
    <t>Maya Khan</t>
  </si>
  <si>
    <t>TX105537</t>
  </si>
  <si>
    <t>AC3940</t>
  </si>
  <si>
    <t>XXXX-XXXX-XXXX-1105</t>
  </si>
  <si>
    <t>TX100700</t>
  </si>
  <si>
    <t>AC2587</t>
  </si>
  <si>
    <t>Uma Kumar</t>
  </si>
  <si>
    <t>XXXX-XXXX-XXXX-7566</t>
  </si>
  <si>
    <t>uma.kumar@yahoo.com</t>
  </si>
  <si>
    <t>Maya Roy</t>
  </si>
  <si>
    <t>Amit Nair</t>
  </si>
  <si>
    <t>Ritu Iyer</t>
  </si>
  <si>
    <t>Rahul Desai</t>
  </si>
  <si>
    <t>rahul.desai@yahoo.com</t>
  </si>
  <si>
    <t>TX100121</t>
  </si>
  <si>
    <t>AC2994</t>
  </si>
  <si>
    <t>Lina Joshi</t>
  </si>
  <si>
    <t>lina.joshi@yahoocom</t>
  </si>
  <si>
    <t>rahul.das@yahoo.com</t>
  </si>
  <si>
    <t>Rahul Roy</t>
  </si>
  <si>
    <t>rahul.roy@hotmail.com</t>
  </si>
  <si>
    <t>AC5598</t>
  </si>
  <si>
    <t>Vikram Singh</t>
  </si>
  <si>
    <t>vikram.singh@yahoo.com</t>
  </si>
  <si>
    <t>Isha Sharma</t>
  </si>
  <si>
    <t>isha.sharma@yahoo.com</t>
  </si>
  <si>
    <t>uma.patel@gmail.com</t>
  </si>
  <si>
    <t>karan.joshi@example.com</t>
  </si>
  <si>
    <t>Vikram Gupta</t>
  </si>
  <si>
    <t>Sana Mehta</t>
  </si>
  <si>
    <t>sana.mehta@hotmail.com</t>
  </si>
  <si>
    <t>Maya Iyer</t>
  </si>
  <si>
    <t>Asha Kumar</t>
  </si>
  <si>
    <t>asha.kumar@gmail.com</t>
  </si>
  <si>
    <t>TX100807</t>
  </si>
  <si>
    <t>AC2670</t>
  </si>
  <si>
    <t>XXXX-XXXX-3358</t>
  </si>
  <si>
    <t>raj.patel@yahoo.com</t>
  </si>
  <si>
    <t>TX102054</t>
  </si>
  <si>
    <t>AC2568</t>
  </si>
  <si>
    <t>lina.joshi@example.com</t>
  </si>
  <si>
    <t>Isha Joshi</t>
  </si>
  <si>
    <t>isha.joshi@yahoo.com</t>
  </si>
  <si>
    <t>Ritu Kumar</t>
  </si>
  <si>
    <t>Maya Mehta</t>
  </si>
  <si>
    <t>Uma Nair</t>
  </si>
  <si>
    <t>uma.nair@example.com</t>
  </si>
  <si>
    <t>Sana Bose</t>
  </si>
  <si>
    <t>Raj Roy</t>
  </si>
  <si>
    <t>Yess</t>
  </si>
  <si>
    <t>Isha Singh</t>
  </si>
  <si>
    <t>Vikram Bose</t>
  </si>
  <si>
    <t>vikram.bose@gmail.com</t>
  </si>
  <si>
    <t>XXXX-XXXX-XXXX-9391</t>
  </si>
  <si>
    <t>Rahul Singh</t>
  </si>
  <si>
    <t>rahul.singh@hotmail.com</t>
  </si>
  <si>
    <t>Sana Joshi</t>
  </si>
  <si>
    <t>Sana Das</t>
  </si>
  <si>
    <t>sana.das@hotmail.com</t>
  </si>
  <si>
    <t>AC7886</t>
  </si>
  <si>
    <t>Rahul Joshi</t>
  </si>
  <si>
    <t>Sana Patel</t>
  </si>
  <si>
    <t>AC3553</t>
  </si>
  <si>
    <t>Rohit Iyer</t>
  </si>
  <si>
    <t>Amit Desai</t>
  </si>
  <si>
    <t>amit.desai@example.com</t>
  </si>
  <si>
    <t>Arjun Desai</t>
  </si>
  <si>
    <t>Raj Singh</t>
  </si>
  <si>
    <t>Isha Patel</t>
  </si>
  <si>
    <t>Arjun Mehta</t>
  </si>
  <si>
    <t>AC8130</t>
  </si>
  <si>
    <t>uma.iyer@hotmail.com</t>
  </si>
  <si>
    <t>uma.kumar@gmail.com</t>
  </si>
  <si>
    <t>XXXX-XXXX-XXXX-9309</t>
  </si>
  <si>
    <t>rahul.singh@example.com</t>
  </si>
  <si>
    <t>arjun.roy@example.com</t>
  </si>
  <si>
    <t>Suresh Gupta</t>
  </si>
  <si>
    <t>AC7990</t>
  </si>
  <si>
    <t>Vikram Patel</t>
  </si>
  <si>
    <t>TX104290</t>
  </si>
  <si>
    <t>AC4688</t>
  </si>
  <si>
    <t>Uma Mehta</t>
  </si>
  <si>
    <t>XXXX-XXXX-XXXX-3267</t>
  </si>
  <si>
    <t>uma.mehta@example.com</t>
  </si>
  <si>
    <t>AC1449</t>
  </si>
  <si>
    <t>Suresh Singh</t>
  </si>
  <si>
    <t>suresh.singh@example.com</t>
  </si>
  <si>
    <t>TX102810</t>
  </si>
  <si>
    <t>AC3741</t>
  </si>
  <si>
    <t>XXXX-XXXX-1431</t>
  </si>
  <si>
    <t>ritu.kumar@example.com</t>
  </si>
  <si>
    <t>priya.das@gmail.com</t>
  </si>
  <si>
    <t>TX104828</t>
  </si>
  <si>
    <t>AC3110</t>
  </si>
  <si>
    <t>XXXX-XXXX-4885</t>
  </si>
  <si>
    <t>vikram.das@yahoo.com</t>
  </si>
  <si>
    <t>Karan Roy</t>
  </si>
  <si>
    <t>Rohit Bose</t>
  </si>
  <si>
    <t>suresh.mehta@example.com</t>
  </si>
  <si>
    <t>Raj Nair</t>
  </si>
  <si>
    <t>Isha Khan</t>
  </si>
  <si>
    <t>Sam Desai</t>
  </si>
  <si>
    <t>rohit.iyer@gmail.com</t>
  </si>
  <si>
    <t>Karan Chopra</t>
  </si>
  <si>
    <t>raj.desai@hotmail.com</t>
  </si>
  <si>
    <t>Uma Desai</t>
  </si>
  <si>
    <t>rahul.joshi@example.com</t>
  </si>
  <si>
    <t>asha.desai@hotmail.com</t>
  </si>
  <si>
    <t>anita.chopra@example.com</t>
  </si>
  <si>
    <t>Arjun Chopra</t>
  </si>
  <si>
    <t>Rahul Sharma</t>
  </si>
  <si>
    <t>AC7557</t>
  </si>
  <si>
    <t>Maya Bose</t>
  </si>
  <si>
    <t>maya.khan@hotmail.com</t>
  </si>
  <si>
    <t>XXXX-XXXX-XXXX-3679</t>
  </si>
  <si>
    <t>TX100510</t>
  </si>
  <si>
    <t>AC6442</t>
  </si>
  <si>
    <t>XXXX-XXXX-2862</t>
  </si>
  <si>
    <t>sam.sharma@example.com</t>
  </si>
  <si>
    <t>Neha Desai</t>
  </si>
  <si>
    <t>Isha Bose</t>
  </si>
  <si>
    <t>TX102219</t>
  </si>
  <si>
    <t>AC8103</t>
  </si>
  <si>
    <t>XXXX-XXXX-3310</t>
  </si>
  <si>
    <t>Karan Patel</t>
  </si>
  <si>
    <t>anita.bose@yahoo.com</t>
  </si>
  <si>
    <t>Dev Sharma</t>
  </si>
  <si>
    <t>Rahul Chopra</t>
  </si>
  <si>
    <t>Karan Singh</t>
  </si>
  <si>
    <t>asha.khan@hotmail.com</t>
  </si>
  <si>
    <t>Uma Joshi</t>
  </si>
  <si>
    <t>Raj Mehta</t>
  </si>
  <si>
    <t>raj.singh@gmail.com</t>
  </si>
  <si>
    <t>Suresh Kumar</t>
  </si>
  <si>
    <t>suresh.kumar@example.com</t>
  </si>
  <si>
    <t>Dev Gupta</t>
  </si>
  <si>
    <t>XXXX-XXXX-8164</t>
  </si>
  <si>
    <t>TX105421</t>
  </si>
  <si>
    <t>AC2713</t>
  </si>
  <si>
    <t>XXXX-XXXX-6286</t>
  </si>
  <si>
    <t>asha.desai@yahoo.com</t>
  </si>
  <si>
    <t>TX102267</t>
  </si>
  <si>
    <t>AC4852</t>
  </si>
  <si>
    <t>Rohit Chopra</t>
  </si>
  <si>
    <t>XXXX-XXXX-XXXX-3171</t>
  </si>
  <si>
    <t>rohit.chopra@hotmail.com</t>
  </si>
  <si>
    <t>Ritu Nair</t>
  </si>
  <si>
    <t>Sana Sharma</t>
  </si>
  <si>
    <t>sana.sharma@example.com</t>
  </si>
  <si>
    <t>TX100359</t>
  </si>
  <si>
    <t>AC9818</t>
  </si>
  <si>
    <t>XXXX-XXXX-5381</t>
  </si>
  <si>
    <t>amit.reddy@hotmail.com</t>
  </si>
  <si>
    <t>maya.iyer@gmail.com</t>
  </si>
  <si>
    <t>Anita Patel</t>
  </si>
  <si>
    <t>Amit Kumar</t>
  </si>
  <si>
    <t>amit.kumar@example.com</t>
  </si>
  <si>
    <t>ritu.nair@example.com</t>
  </si>
  <si>
    <t>Sam Nair</t>
  </si>
  <si>
    <t>Karan Khan</t>
  </si>
  <si>
    <t>TX103250</t>
  </si>
  <si>
    <t>AC1033</t>
  </si>
  <si>
    <t>XXXX-XXXX-XXXX-1151</t>
  </si>
  <si>
    <t>amit.gupta@gmail.com</t>
  </si>
  <si>
    <t>Neha Chopra</t>
  </si>
  <si>
    <t>Neha Iyer</t>
  </si>
  <si>
    <t>neha.iyer@gmail.com</t>
  </si>
  <si>
    <t>Rahul Kumar</t>
  </si>
  <si>
    <t>karan.patel@example.com</t>
  </si>
  <si>
    <t>AC4037</t>
  </si>
  <si>
    <t>Sam Gupta</t>
  </si>
  <si>
    <t>karan.das@hotmail.com</t>
  </si>
  <si>
    <t>XXXX-XXXX-8808</t>
  </si>
  <si>
    <t>Dev Das</t>
  </si>
  <si>
    <t>Uma Das</t>
  </si>
  <si>
    <t>XXXX-XXXX-2798</t>
  </si>
  <si>
    <t>Sam Bose</t>
  </si>
  <si>
    <t>AC3929</t>
  </si>
  <si>
    <t>Sam Joshi</t>
  </si>
  <si>
    <t>AC8613</t>
  </si>
  <si>
    <t>Amit Roy</t>
  </si>
  <si>
    <t>XXXX-XXXX-XXXX-4709</t>
  </si>
  <si>
    <t>amit.roy@gmail.com</t>
  </si>
  <si>
    <t>isha.patel@hotmail.com</t>
  </si>
  <si>
    <t>lina.reddy@yahoo.com</t>
  </si>
  <si>
    <t>TX104957</t>
  </si>
  <si>
    <t>AC2272</t>
  </si>
  <si>
    <t>XXXX-XXXX-2887</t>
  </si>
  <si>
    <t>TX102523</t>
  </si>
  <si>
    <t>AC6257</t>
  </si>
  <si>
    <t>rohit.mehta@example.com</t>
  </si>
  <si>
    <t>TX104997</t>
  </si>
  <si>
    <t>AC8067</t>
  </si>
  <si>
    <t>XXXX-XXXX-1847</t>
  </si>
  <si>
    <t>TX101682</t>
  </si>
  <si>
    <t>AC1500</t>
  </si>
  <si>
    <t>XXXX-XXXX-1285</t>
  </si>
  <si>
    <t>AC5339</t>
  </si>
  <si>
    <t>ritu.chopra@example.com</t>
  </si>
  <si>
    <t>Asha Iyer</t>
  </si>
  <si>
    <t>Arjun Khan</t>
  </si>
  <si>
    <t>arjun.khan@yahoo.com</t>
  </si>
  <si>
    <t>Lina Kumar</t>
  </si>
  <si>
    <t>lina.kumar@example.com</t>
  </si>
  <si>
    <t>Karan Nair</t>
  </si>
  <si>
    <t>Karan Reddy</t>
  </si>
  <si>
    <t>AC4645</t>
  </si>
  <si>
    <t>Asha Singh</t>
  </si>
  <si>
    <t>Ritu Reddy</t>
  </si>
  <si>
    <t>Lina Desai</t>
  </si>
  <si>
    <t>lina.desai@hotmail.com</t>
  </si>
  <si>
    <t>priya.roy@hotmail.com</t>
  </si>
  <si>
    <t>sam.nair@hotmail.com</t>
  </si>
  <si>
    <t>TX102622</t>
  </si>
  <si>
    <t>AC6424</t>
  </si>
  <si>
    <t>XXXX-XXXX-XXXX-2774</t>
  </si>
  <si>
    <t>ritu.iyer@gmail.com</t>
  </si>
  <si>
    <t>Arjun Gupta</t>
  </si>
  <si>
    <t>XXXX-XXXX-XXXX-2123</t>
  </si>
  <si>
    <t>vikram.singh@gmail.com</t>
  </si>
  <si>
    <t>AC5597</t>
  </si>
  <si>
    <t>Priya Chopra</t>
  </si>
  <si>
    <t>AC6324</t>
  </si>
  <si>
    <t>AC9971</t>
  </si>
  <si>
    <t>priya.singh@yahoo.com</t>
  </si>
  <si>
    <t>dev.das@gmail.com</t>
  </si>
  <si>
    <t>ritu.chopra@yahoo.com</t>
  </si>
  <si>
    <t>TX101402</t>
  </si>
  <si>
    <t>AC7319</t>
  </si>
  <si>
    <t>Maya Desai</t>
  </si>
  <si>
    <t>XXXX-XXXX-7742</t>
  </si>
  <si>
    <t>maya.desai@example.com</t>
  </si>
  <si>
    <t>asha.reddy@example.com</t>
  </si>
  <si>
    <t>Maya Reddy</t>
  </si>
  <si>
    <t>asha.das@yahoo.com</t>
  </si>
  <si>
    <t>Ritu Gupta</t>
  </si>
  <si>
    <t>ritu.gupta@example.com</t>
  </si>
  <si>
    <t>raj.das@gmailcom</t>
  </si>
  <si>
    <t>Karan Desai</t>
  </si>
  <si>
    <t>asha.singh@gmail.com</t>
  </si>
  <si>
    <t>TX102775</t>
  </si>
  <si>
    <t>AC1421</t>
  </si>
  <si>
    <t>asha.desai@gmail.com</t>
  </si>
  <si>
    <t>Anita Joshi</t>
  </si>
  <si>
    <t>anita.joshi@yahoo.com</t>
  </si>
  <si>
    <t>Anita Khan</t>
  </si>
  <si>
    <t>Arjun Reddy</t>
  </si>
  <si>
    <t>arjun.reddy@example.com</t>
  </si>
  <si>
    <t>TX101276</t>
  </si>
  <si>
    <t>AC8396</t>
  </si>
  <si>
    <t>XXXX-XXXX-1483</t>
  </si>
  <si>
    <t>asha.das@hotmail.com</t>
  </si>
  <si>
    <t>ritu.iyer@yahoo.com</t>
  </si>
  <si>
    <t xml:space="preserve">neha.patel@gmail.com </t>
  </si>
  <si>
    <t>TX103908</t>
  </si>
  <si>
    <t>AC5562</t>
  </si>
  <si>
    <t>XXXX-XXXX-XXXX-4285</t>
  </si>
  <si>
    <t>Ritu Joshi</t>
  </si>
  <si>
    <t>TX104006</t>
  </si>
  <si>
    <t>AC9984</t>
  </si>
  <si>
    <t>Arjun Iyer</t>
  </si>
  <si>
    <t>XXXX-XXXX-9913</t>
  </si>
  <si>
    <t>arjun.iyer@example.com</t>
  </si>
  <si>
    <t>TX103337</t>
  </si>
  <si>
    <t>AC5867</t>
  </si>
  <si>
    <t>XXXX-XXXX-4744</t>
  </si>
  <si>
    <t>priya.chopra@example.com</t>
  </si>
  <si>
    <t>Neha Khan</t>
  </si>
  <si>
    <t>neha.khan@hotmail.com</t>
  </si>
  <si>
    <t>AC8617</t>
  </si>
  <si>
    <t>AC4196</t>
  </si>
  <si>
    <t>raj.gupta@example.com</t>
  </si>
  <si>
    <t>karan.khan@example.com</t>
  </si>
  <si>
    <t>Sana Roy</t>
  </si>
  <si>
    <t>Lina Roy</t>
  </si>
  <si>
    <t>maya.bose@example.com</t>
  </si>
  <si>
    <t>Asha Nair</t>
  </si>
  <si>
    <t>asha.nair@gmail.com</t>
  </si>
  <si>
    <t>priya.mehta@gmail.com</t>
  </si>
  <si>
    <t>TX104468</t>
  </si>
  <si>
    <t>AC9358</t>
  </si>
  <si>
    <t>XXXX-XXXX-XXXX-6006</t>
  </si>
  <si>
    <t>sana.roy@yahoo.com</t>
  </si>
  <si>
    <t>dev.gupta@hotmail.com</t>
  </si>
  <si>
    <t>TX103865</t>
  </si>
  <si>
    <t>AC4846</t>
  </si>
  <si>
    <t>Asha Gupta</t>
  </si>
  <si>
    <t>asha.gupta@hotmail.com</t>
  </si>
  <si>
    <t>Isha Roy</t>
  </si>
  <si>
    <t>isha.roy@hotmail.com</t>
  </si>
  <si>
    <t>Rohit Patel</t>
  </si>
  <si>
    <t>TX100145</t>
  </si>
  <si>
    <t>AC8556</t>
  </si>
  <si>
    <t>isha ROY</t>
  </si>
  <si>
    <t>XXXX-XXXX-2915</t>
  </si>
  <si>
    <t>isha.roy@example.com</t>
  </si>
  <si>
    <t>Ritu Sharma</t>
  </si>
  <si>
    <t>ritu.sharma@yahoo.com</t>
  </si>
  <si>
    <t>Vikram Roy</t>
  </si>
  <si>
    <t>XXXX-XXXX-9006</t>
  </si>
  <si>
    <t>Priya Sharma</t>
  </si>
  <si>
    <t>priya.sharma@example.com</t>
  </si>
  <si>
    <t>Priya Gupta</t>
  </si>
  <si>
    <t>TX101863</t>
  </si>
  <si>
    <t>AC3127</t>
  </si>
  <si>
    <t>XXXX-XXXX-1332</t>
  </si>
  <si>
    <t>isha.desai@example.com</t>
  </si>
  <si>
    <t>Sana Nair</t>
  </si>
  <si>
    <t>sam.roy@hotmail.com</t>
  </si>
  <si>
    <t>Neha Das</t>
  </si>
  <si>
    <t>AC5195</t>
  </si>
  <si>
    <t>AC4564</t>
  </si>
  <si>
    <t>Lina Mehta</t>
  </si>
  <si>
    <t>Sana Gupta</t>
  </si>
  <si>
    <t>AC9223</t>
  </si>
  <si>
    <t>TX102416</t>
  </si>
  <si>
    <t>AC2519</t>
  </si>
  <si>
    <t>Dv Kumar</t>
  </si>
  <si>
    <t>XXXX-XXXX-XXXX-8314</t>
  </si>
  <si>
    <t>dv.kumar@example.com</t>
  </si>
  <si>
    <t>dev.sharma@yahoo.com</t>
  </si>
  <si>
    <t>Vikram Mehta</t>
  </si>
  <si>
    <t>vikram.mehta@hotmail.com</t>
  </si>
  <si>
    <t>AC8526</t>
  </si>
  <si>
    <t>sam.patel@yahoo.com</t>
  </si>
  <si>
    <t>Raj Iyer</t>
  </si>
  <si>
    <t>raj.iyer@yahoo.com</t>
  </si>
  <si>
    <t>TX101925</t>
  </si>
  <si>
    <t>AC6179</t>
  </si>
  <si>
    <t>XXXX-XXXX-6424</t>
  </si>
  <si>
    <t>TX102498</t>
  </si>
  <si>
    <t>AC4663</t>
  </si>
  <si>
    <t>XXXX-XXXX-8583</t>
  </si>
  <si>
    <t>TX101784</t>
  </si>
  <si>
    <t>AC5917</t>
  </si>
  <si>
    <t>sam.nair@example.com</t>
  </si>
  <si>
    <t>priya.kumar@gmail.com</t>
  </si>
  <si>
    <t>AC1032</t>
  </si>
  <si>
    <t>AC5390</t>
  </si>
  <si>
    <t>amit IYER</t>
  </si>
  <si>
    <t>Lina Nair</t>
  </si>
  <si>
    <t>Vikram Chopra</t>
  </si>
  <si>
    <t>vikram.chopra@yahoo.com</t>
  </si>
  <si>
    <t>maya.bose@gmail.com</t>
  </si>
  <si>
    <t>AC4791</t>
  </si>
  <si>
    <t>TX105486</t>
  </si>
  <si>
    <t>AC7361</t>
  </si>
  <si>
    <t>Karan Sharma</t>
  </si>
  <si>
    <t>XXXX-XXXX-8733</t>
  </si>
  <si>
    <t>karan.sharma@example.com</t>
  </si>
  <si>
    <t>XXXX-XXXX-1663</t>
  </si>
  <si>
    <t>isha.singh@yahoo.com</t>
  </si>
  <si>
    <t>Asha Chopra</t>
  </si>
  <si>
    <t>Rohit Gupta</t>
  </si>
  <si>
    <t>rohit.gupta@yahoo.com</t>
  </si>
  <si>
    <t>AC6973</t>
  </si>
  <si>
    <t>XXXX-XXXX-4871</t>
  </si>
  <si>
    <t>Rahul Nair</t>
  </si>
  <si>
    <t>rahul.nair@example.com</t>
  </si>
  <si>
    <t>Priya Desai</t>
  </si>
  <si>
    <t>priya.desai@example.com</t>
  </si>
  <si>
    <t>XXXX-XXXX-8585</t>
  </si>
  <si>
    <t>priya.gupta@hotmail.com</t>
  </si>
  <si>
    <t>Rohit Singh</t>
  </si>
  <si>
    <t>Neha Reddy</t>
  </si>
  <si>
    <t>TX103900</t>
  </si>
  <si>
    <t>AC5269</t>
  </si>
  <si>
    <t>XXXX-XXXX-4697</t>
  </si>
  <si>
    <t>Anita Reddy</t>
  </si>
  <si>
    <t>maya.mehta@hotmail.com</t>
  </si>
  <si>
    <t>sana.singh@hotmail.com</t>
  </si>
  <si>
    <t>XXXX-XXXX-XXXX-7072</t>
  </si>
  <si>
    <t>vikram.joshi@hotmail.com</t>
  </si>
  <si>
    <t>AC5082</t>
  </si>
  <si>
    <t>Uma Gupta</t>
  </si>
  <si>
    <t>TX101542</t>
  </si>
  <si>
    <t>AC8577</t>
  </si>
  <si>
    <t>lina.khan@example.com</t>
  </si>
  <si>
    <t>TX105228</t>
  </si>
  <si>
    <t>AC2854</t>
  </si>
  <si>
    <t>XXXX-XXXX-XXXX-8473</t>
  </si>
  <si>
    <t>neha.roy@gmail.com</t>
  </si>
  <si>
    <t>sam.khan@hotmail.com</t>
  </si>
  <si>
    <t>TX102817</t>
  </si>
  <si>
    <t>AC1974</t>
  </si>
  <si>
    <t>Ritu Khan</t>
  </si>
  <si>
    <t>XXXX-XXXX-8037</t>
  </si>
  <si>
    <t>ritu.khan@gmail.com</t>
  </si>
  <si>
    <t>Anita Singh</t>
  </si>
  <si>
    <t>anita.singh@example.com</t>
  </si>
  <si>
    <t>TX103208</t>
  </si>
  <si>
    <t>AC5734</t>
  </si>
  <si>
    <t>XXXX-XXXX-8684</t>
  </si>
  <si>
    <t>priya.patelgmail.com</t>
  </si>
  <si>
    <t>TX101181</t>
  </si>
  <si>
    <t>AC6643</t>
  </si>
  <si>
    <t>XXXX-XXXX-6706</t>
  </si>
  <si>
    <t>isha.singh@hotmailcom</t>
  </si>
  <si>
    <t>sana.patel@hotmail.com</t>
  </si>
  <si>
    <t>Amit Bose</t>
  </si>
  <si>
    <t>TX103621</t>
  </si>
  <si>
    <t>AC7242</t>
  </si>
  <si>
    <t>XXXX-XXXX-9404</t>
  </si>
  <si>
    <t>raj.roy@hotmail.com</t>
  </si>
  <si>
    <t>Amit Joshi</t>
  </si>
  <si>
    <t>AC6246</t>
  </si>
  <si>
    <t>Anita Das</t>
  </si>
  <si>
    <t>TX103663</t>
  </si>
  <si>
    <t>AC1384</t>
  </si>
  <si>
    <t>XXXX-XXXX-3709</t>
  </si>
  <si>
    <t>amit.roy@example.com</t>
  </si>
  <si>
    <t>XXXX-XXXX-1514</t>
  </si>
  <si>
    <t>TX104789</t>
  </si>
  <si>
    <t>AC1100</t>
  </si>
  <si>
    <t xml:space="preserve">AED </t>
  </si>
  <si>
    <t>XXXX-XXXX-7672</t>
  </si>
  <si>
    <t>priya.das@example.com</t>
  </si>
  <si>
    <t>Ritu Mehta</t>
  </si>
  <si>
    <t>sam.nair@yahoo.com</t>
  </si>
  <si>
    <t>sana.bose@hotmail.com</t>
  </si>
  <si>
    <t>karan.desai@hotmail.com</t>
  </si>
  <si>
    <t>karan.mehta@yahoo.com</t>
  </si>
  <si>
    <t>TX104594</t>
  </si>
  <si>
    <t>AC8609</t>
  </si>
  <si>
    <t>amit MEHTA</t>
  </si>
  <si>
    <t>XXXX-XXXX-5926</t>
  </si>
  <si>
    <t>amit.mehta@example.com</t>
  </si>
  <si>
    <t>TX103355</t>
  </si>
  <si>
    <t>AC1164</t>
  </si>
  <si>
    <t>XXXX-XXXX-6875</t>
  </si>
  <si>
    <t>dev.khangmail.com</t>
  </si>
  <si>
    <t>TX103677</t>
  </si>
  <si>
    <t>AC2166</t>
  </si>
  <si>
    <t>XXXX-XXXX-9727</t>
  </si>
  <si>
    <t>sana.patel@gmailcom</t>
  </si>
  <si>
    <t>TX101739</t>
  </si>
  <si>
    <t>AC5884</t>
  </si>
  <si>
    <t>XXXX-XXXX-XXXX-8560</t>
  </si>
  <si>
    <t>karan.khan@yahoo.com</t>
  </si>
  <si>
    <t>Neha Sharma</t>
  </si>
  <si>
    <t>TX105290</t>
  </si>
  <si>
    <t>AC7591</t>
  </si>
  <si>
    <t>XXXX-XXXX-XXXX-4636</t>
  </si>
  <si>
    <t>TX105540</t>
  </si>
  <si>
    <t>AC1764</t>
  </si>
  <si>
    <t>XXXX-XXXX-XXXX-8072</t>
  </si>
  <si>
    <t xml:space="preserve">GBP </t>
  </si>
  <si>
    <t>lina.roy@example.com</t>
  </si>
  <si>
    <t>ritu.sharma@hotmail.com</t>
  </si>
  <si>
    <t>XXXX-XXXX-6072</t>
  </si>
  <si>
    <t>Anita Mehta</t>
  </si>
  <si>
    <t>AC3794</t>
  </si>
  <si>
    <t>karan.desai@gmail.com</t>
  </si>
  <si>
    <t>TX102853</t>
  </si>
  <si>
    <t>AC4621</t>
  </si>
  <si>
    <t>XXXX-XXXX-XXXX-5926</t>
  </si>
  <si>
    <t>rohit.roy@gmail.com</t>
  </si>
  <si>
    <t>TX102428</t>
  </si>
  <si>
    <t>AC7808</t>
  </si>
  <si>
    <t>XXXX-XXXX-7371</t>
  </si>
  <si>
    <t>isha.patelgmail.com</t>
  </si>
  <si>
    <t>lina.patel@yahoo.com</t>
  </si>
  <si>
    <t>asha.khan@example.com</t>
  </si>
  <si>
    <t>asha.patel@example.com</t>
  </si>
  <si>
    <t>ritu.gupta@gmail.com</t>
  </si>
  <si>
    <t>maya.roy@hotmail.com</t>
  </si>
  <si>
    <t>Neha Bose</t>
  </si>
  <si>
    <t>neha.bose@example.com</t>
  </si>
  <si>
    <t>AC8331</t>
  </si>
  <si>
    <t>ritu.mehta@hotmail.com</t>
  </si>
  <si>
    <t>AC1229</t>
  </si>
  <si>
    <t>Lina Gupta</t>
  </si>
  <si>
    <t>Maya Das</t>
  </si>
  <si>
    <t>priya.chopra@yahoo.com</t>
  </si>
  <si>
    <t>Arjun Das</t>
  </si>
  <si>
    <t>Sam Sharma</t>
  </si>
  <si>
    <t>TX105522</t>
  </si>
  <si>
    <t>AC7165</t>
  </si>
  <si>
    <t>Uma Khan</t>
  </si>
  <si>
    <t>uma.khan@examplecom</t>
  </si>
  <si>
    <t>AC1400</t>
  </si>
  <si>
    <t>Suresh Iyer</t>
  </si>
  <si>
    <t>suresh.iyer@hotmail.com</t>
  </si>
  <si>
    <t>AC4549</t>
  </si>
  <si>
    <t>Priya Joshi</t>
  </si>
  <si>
    <t>TX101561</t>
  </si>
  <si>
    <t>AC7611</t>
  </si>
  <si>
    <t>ritu SHARMA</t>
  </si>
  <si>
    <t>XXXX-XXXX-XXXX-1091</t>
  </si>
  <si>
    <t>TX105718</t>
  </si>
  <si>
    <t>AC8092</t>
  </si>
  <si>
    <t>XXXX-XXXX-1152</t>
  </si>
  <si>
    <t>karan.joshi@hotmail.com</t>
  </si>
  <si>
    <t>Ritu Das</t>
  </si>
  <si>
    <t>Isha Iyer</t>
  </si>
  <si>
    <t>Sam Das</t>
  </si>
  <si>
    <t>sam.das@hotmail.com</t>
  </si>
  <si>
    <t>TX104035</t>
  </si>
  <si>
    <t>AC7536</t>
  </si>
  <si>
    <t>Isha Reddy</t>
  </si>
  <si>
    <t>isha.reddy@yahoo.com</t>
  </si>
  <si>
    <t>Maya Kumar</t>
  </si>
  <si>
    <t>lina.mehta@yahoo.com</t>
  </si>
  <si>
    <t>ritu.das@example.com</t>
  </si>
  <si>
    <t>sam.bose@hotmail.com</t>
  </si>
  <si>
    <t>XXXX-XXXX-5604</t>
  </si>
  <si>
    <t>raj.iyer@gmail.com</t>
  </si>
  <si>
    <t>Rohit Khan</t>
  </si>
  <si>
    <t>rohit.khan@yahoo.com</t>
  </si>
  <si>
    <t>sam.gupta@gmail.com</t>
  </si>
  <si>
    <t>AC1235</t>
  </si>
  <si>
    <t>Rahul Reddy</t>
  </si>
  <si>
    <t>XXXX-XXXX-4750</t>
  </si>
  <si>
    <t>AC8796</t>
  </si>
  <si>
    <t>TX101227</t>
  </si>
  <si>
    <t>AC5399</t>
  </si>
  <si>
    <t>dev.khan@hotmail.com</t>
  </si>
  <si>
    <t>XXXX-XXXX-6866</t>
  </si>
  <si>
    <t>AC8314</t>
  </si>
  <si>
    <t>rahul.reddy@example.com</t>
  </si>
  <si>
    <t>AC9632</t>
  </si>
  <si>
    <t>lina.chopra@example.com</t>
  </si>
  <si>
    <t>AC9278</t>
  </si>
  <si>
    <t>karan.reddy@gmail.com</t>
  </si>
  <si>
    <t>TX104886</t>
  </si>
  <si>
    <t>AC2593</t>
  </si>
  <si>
    <t>XXXX-XXXX-8109</t>
  </si>
  <si>
    <t>lina.khan@hotmail.com</t>
  </si>
  <si>
    <t>Arjun Bose</t>
  </si>
  <si>
    <t>TX105731</t>
  </si>
  <si>
    <t>AC7428</t>
  </si>
  <si>
    <t>XXXX-XXXX-6211</t>
  </si>
  <si>
    <t>TX105835</t>
  </si>
  <si>
    <t>XXXX-XXXX-XXXX-8777</t>
  </si>
  <si>
    <t>raj.gupta@yahoo.com</t>
  </si>
  <si>
    <t>suresh.kumar@gmail.com</t>
  </si>
  <si>
    <t>arjun.chopra@yahoo.com</t>
  </si>
  <si>
    <t>TX100912</t>
  </si>
  <si>
    <t>AC1814</t>
  </si>
  <si>
    <t>XXXX-XXXX-2927</t>
  </si>
  <si>
    <t>isha.mehta@example.com</t>
  </si>
  <si>
    <t>Rohit Sharma</t>
  </si>
  <si>
    <t>TX105833</t>
  </si>
  <si>
    <t>AC3193</t>
  </si>
  <si>
    <t>XXXX-XXXX-8578</t>
  </si>
  <si>
    <t>neha.nair@example.com</t>
  </si>
  <si>
    <t>anita.khan@hotmail.com</t>
  </si>
  <si>
    <t>arjun.khan@gmail.com</t>
  </si>
  <si>
    <t>arjun.chopra@gmail.com</t>
  </si>
  <si>
    <t>AC1339</t>
  </si>
  <si>
    <t>XXXX-XXXX-7914</t>
  </si>
  <si>
    <t>TX102572</t>
  </si>
  <si>
    <t>AC7403</t>
  </si>
  <si>
    <t>XXXX-XXXX-3436</t>
  </si>
  <si>
    <t>uma.mehta@gmail.com</t>
  </si>
  <si>
    <t>TX101740</t>
  </si>
  <si>
    <t>AC4332</t>
  </si>
  <si>
    <t>XXXX-XXXX-5844</t>
  </si>
  <si>
    <t>anita.khan@example.com</t>
  </si>
  <si>
    <t>TX101406</t>
  </si>
  <si>
    <t>AC5537</t>
  </si>
  <si>
    <t>XXXX-XXXX-XXXX-8298</t>
  </si>
  <si>
    <t>ritu.sharma@gmail.com</t>
  </si>
  <si>
    <t>TX103166</t>
  </si>
  <si>
    <t>AC9029</t>
  </si>
  <si>
    <t>isha.iyer@hotmail.com</t>
  </si>
  <si>
    <t>Suresh Roy</t>
  </si>
  <si>
    <t>suresh.roy@hotmail.com</t>
  </si>
  <si>
    <t>suresh.mehta@hotmail.com</t>
  </si>
  <si>
    <t>isha.joshi@gmail.com</t>
  </si>
  <si>
    <t>suresh.singh@yahoo.com</t>
  </si>
  <si>
    <t>AC2780</t>
  </si>
  <si>
    <t>maya.patel@yahoo.com</t>
  </si>
  <si>
    <t>AC4277</t>
  </si>
  <si>
    <t>AC6527</t>
  </si>
  <si>
    <t>vikram.reddy@gmail.com</t>
  </si>
  <si>
    <t>TX100377</t>
  </si>
  <si>
    <t>AC6939</t>
  </si>
  <si>
    <t>XXXX-XXXX-9643</t>
  </si>
  <si>
    <t>AC4153</t>
  </si>
  <si>
    <t>TX102224</t>
  </si>
  <si>
    <t>AC5498</t>
  </si>
  <si>
    <t>XXXX-XXXX-XXXX-7762</t>
  </si>
  <si>
    <t>TX105696</t>
  </si>
  <si>
    <t>AC6704</t>
  </si>
  <si>
    <t>XXXX-XXXX-4857</t>
  </si>
  <si>
    <t>TX103716</t>
  </si>
  <si>
    <t>AC1490</t>
  </si>
  <si>
    <t>XXXX-XXXX-7014</t>
  </si>
  <si>
    <t>TX103882</t>
  </si>
  <si>
    <t>AC4026</t>
  </si>
  <si>
    <t>XXXX-XXXX-7255</t>
  </si>
  <si>
    <t>maya.reddy@example.com</t>
  </si>
  <si>
    <t>XXXX-XXXX-3086</t>
  </si>
  <si>
    <t>Ritu Desai</t>
  </si>
  <si>
    <t>TX104553</t>
  </si>
  <si>
    <t>AC2393</t>
  </si>
  <si>
    <t>neha.nair@hotmail.com</t>
  </si>
  <si>
    <t>TX100172</t>
  </si>
  <si>
    <t>AC9812</t>
  </si>
  <si>
    <t>XXXX-XXXX-6015</t>
  </si>
  <si>
    <t>neha.roy@example.com</t>
  </si>
  <si>
    <t>uma.gupta@hotmail.com</t>
  </si>
  <si>
    <t>TX102933</t>
  </si>
  <si>
    <t>AC9195</t>
  </si>
  <si>
    <t>XXXX-XXXX-5841</t>
  </si>
  <si>
    <t>TX102567</t>
  </si>
  <si>
    <t>AC9188</t>
  </si>
  <si>
    <t>rahul.chopragmail.com</t>
  </si>
  <si>
    <t>uma.gupta@example.com</t>
  </si>
  <si>
    <t>XXXX-XXXX-7489</t>
  </si>
  <si>
    <t>AC9776</t>
  </si>
  <si>
    <t>priya.roy@example.com</t>
  </si>
  <si>
    <t>Sam Singh</t>
  </si>
  <si>
    <t>TX101547</t>
  </si>
  <si>
    <t>AC4385</t>
  </si>
  <si>
    <t>XXXX-XXXX-XXXX-4663</t>
  </si>
  <si>
    <t>neha.das@hotmail.com</t>
  </si>
  <si>
    <t>vikram.bose@hotmail.com</t>
  </si>
  <si>
    <t>AC6750</t>
  </si>
  <si>
    <t>TX104370</t>
  </si>
  <si>
    <t>AC5148</t>
  </si>
  <si>
    <t>XXXX-XXXX-5992</t>
  </si>
  <si>
    <t>sam.gupta@example.com</t>
  </si>
  <si>
    <t>Raj Khan</t>
  </si>
  <si>
    <t>lina.desai@example.com</t>
  </si>
  <si>
    <t>sana.nair@yahoo.com</t>
  </si>
  <si>
    <t>TX100459</t>
  </si>
  <si>
    <t>AC2354</t>
  </si>
  <si>
    <t>XXXX-XXXX-XXXX-6987</t>
  </si>
  <si>
    <t>arjun.das@hotmail.com</t>
  </si>
  <si>
    <t>asha.chopra@hotmail.com</t>
  </si>
  <si>
    <t>AC5987</t>
  </si>
  <si>
    <t>TX104610</t>
  </si>
  <si>
    <t>AC6886</t>
  </si>
  <si>
    <t>XXXX-XXXX-1967</t>
  </si>
  <si>
    <t>rohit.patel@hotmail.com</t>
  </si>
  <si>
    <t>isha.khan@example.com</t>
  </si>
  <si>
    <t>raj.kumar@example.com</t>
  </si>
  <si>
    <t>TX104151</t>
  </si>
  <si>
    <t>AC2227</t>
  </si>
  <si>
    <t>Nha Mhta</t>
  </si>
  <si>
    <t>XXXX-XXXX-XXXX-2947</t>
  </si>
  <si>
    <t>nha.mhta@yahoo.com</t>
  </si>
  <si>
    <t>Priya Bose</t>
  </si>
  <si>
    <t>priya.bose@hotmail.com</t>
  </si>
  <si>
    <t>AC9240</t>
  </si>
  <si>
    <t>AC7194</t>
  </si>
  <si>
    <t>ritu.joshi@example.com</t>
  </si>
  <si>
    <t>TX103293</t>
  </si>
  <si>
    <t>AC3519</t>
  </si>
  <si>
    <t>neha.reddy@yahoo.com</t>
  </si>
  <si>
    <t>dev.sharma@example.com</t>
  </si>
  <si>
    <t>Asha Mehta</t>
  </si>
  <si>
    <t>asha.mehta@hotmail.com</t>
  </si>
  <si>
    <t>AC5068</t>
  </si>
  <si>
    <t>XXXX-XXXX-1385</t>
  </si>
  <si>
    <t>XXXX-XXXX-XXXX-9452</t>
  </si>
  <si>
    <t>Sana Chopra</t>
  </si>
  <si>
    <t>TX101086</t>
  </si>
  <si>
    <t>AC2663</t>
  </si>
  <si>
    <t>XXXX-XXXX-9613</t>
  </si>
  <si>
    <t>asha.mehta@yahoo.com</t>
  </si>
  <si>
    <t>Arjun Nair</t>
  </si>
  <si>
    <t>arjun.nair@example.com</t>
  </si>
  <si>
    <t>amit.nair@hotmail.com</t>
  </si>
  <si>
    <t>Anita Nair</t>
  </si>
  <si>
    <t>vikram.roy@yahoo.com</t>
  </si>
  <si>
    <t>asha.singh@yahoo.com</t>
  </si>
  <si>
    <t>TX101767</t>
  </si>
  <si>
    <t>AC9834</t>
  </si>
  <si>
    <t>XXXX-XXXX-XXXX-5189</t>
  </si>
  <si>
    <t>Sam Reddy</t>
  </si>
  <si>
    <t>anita.iyer@gmail.com</t>
  </si>
  <si>
    <t>Suresh Patel</t>
  </si>
  <si>
    <t>suresh.patel@yahoo.com</t>
  </si>
  <si>
    <t>TX100932</t>
  </si>
  <si>
    <t>AC9531</t>
  </si>
  <si>
    <t>XXXX-XXXX-6739</t>
  </si>
  <si>
    <t>anita.gupta@yahoo.com</t>
  </si>
  <si>
    <t>TX102242</t>
  </si>
  <si>
    <t>AC1187</t>
  </si>
  <si>
    <t>AC3386</t>
  </si>
  <si>
    <t>neha.patel@yahoo.com</t>
  </si>
  <si>
    <t>TX101341</t>
  </si>
  <si>
    <t>XXXX-XXXX-1647</t>
  </si>
  <si>
    <t>sana.sharma@gmail.com</t>
  </si>
  <si>
    <t>XXXX-XXXX-7081</t>
  </si>
  <si>
    <t>TX104631</t>
  </si>
  <si>
    <t>AC6588</t>
  </si>
  <si>
    <t>XXXX-XXXX-9038</t>
  </si>
  <si>
    <t>priya.sharma@hotmailcom</t>
  </si>
  <si>
    <t>sam.mehta@hotmail.com</t>
  </si>
  <si>
    <t>neha.iyer@yahoo.com</t>
  </si>
  <si>
    <t>TX101629</t>
  </si>
  <si>
    <t>AC1350</t>
  </si>
  <si>
    <t>XXXX-XXXX-6162</t>
  </si>
  <si>
    <t>TX102610</t>
  </si>
  <si>
    <t>AC8247</t>
  </si>
  <si>
    <t>dev.joshi@hotmail.com</t>
  </si>
  <si>
    <t>karan.roy@gmail.com</t>
  </si>
  <si>
    <t>TX100766</t>
  </si>
  <si>
    <t>AC2222</t>
  </si>
  <si>
    <t>XXXX-XXXX-XXXX-2988</t>
  </si>
  <si>
    <t>TX104513</t>
  </si>
  <si>
    <t>AC1403</t>
  </si>
  <si>
    <t>sam.reddy@gmail.com</t>
  </si>
  <si>
    <t>TX104733</t>
  </si>
  <si>
    <t>AC4160</t>
  </si>
  <si>
    <t>rohit.chopra@yahoo.com</t>
  </si>
  <si>
    <t>AC6454</t>
  </si>
  <si>
    <t>XXXX-XXXX-6701</t>
  </si>
  <si>
    <t>lina.roy@gmail.com</t>
  </si>
  <si>
    <t>TX105812</t>
  </si>
  <si>
    <t>AC2022</t>
  </si>
  <si>
    <t>Suresh Nair</t>
  </si>
  <si>
    <t>XXXX-XXXX-8008</t>
  </si>
  <si>
    <t xml:space="preserve">suresh.nair@example.com </t>
  </si>
  <si>
    <t>TX104082</t>
  </si>
  <si>
    <t>AC4488</t>
  </si>
  <si>
    <t>XXXX-XXXX-3162</t>
  </si>
  <si>
    <t>TX105079</t>
  </si>
  <si>
    <t>AC6615</t>
  </si>
  <si>
    <t>Rahl Singh</t>
  </si>
  <si>
    <t>XXXX-XXXX-1364</t>
  </si>
  <si>
    <t>rahl.singh@example.com</t>
  </si>
  <si>
    <t>TX105166</t>
  </si>
  <si>
    <t>dev.iyer@yahoo.com</t>
  </si>
  <si>
    <t>uma.joshi@gmail.com</t>
  </si>
  <si>
    <t>XXXX-XXXX-9790</t>
  </si>
  <si>
    <t>arjun.nair@gmail.com</t>
  </si>
  <si>
    <t>TX100916</t>
  </si>
  <si>
    <t>XXXX-XXXX-8810</t>
  </si>
  <si>
    <t>arjun.nair@hotmail.com</t>
  </si>
  <si>
    <t>arjun.gupta@example.com</t>
  </si>
  <si>
    <t>asha.mehta@gmail.com</t>
  </si>
  <si>
    <t>XXXX-XXXX-3151</t>
  </si>
  <si>
    <t>AC4232</t>
  </si>
  <si>
    <t>TX102882</t>
  </si>
  <si>
    <t>AC9323</t>
  </si>
  <si>
    <t>vikram.roy@hotmail.com</t>
  </si>
  <si>
    <t>amit.chopra@hotmail.com</t>
  </si>
  <si>
    <t>TX100427</t>
  </si>
  <si>
    <t>XXXX-XXXX-2110</t>
  </si>
  <si>
    <t>vikram.bose@yahoo.com</t>
  </si>
  <si>
    <t>AC8819</t>
  </si>
  <si>
    <t>TX103826</t>
  </si>
  <si>
    <t>AC1585</t>
  </si>
  <si>
    <t>XXXX-XXXX-3560</t>
  </si>
  <si>
    <t>ritu.singh@gmail.com</t>
  </si>
  <si>
    <t>TX105969</t>
  </si>
  <si>
    <t>AC9292</t>
  </si>
  <si>
    <t>XXXX-XXXX-6971</t>
  </si>
  <si>
    <t>asha.mehta@example.com</t>
  </si>
  <si>
    <t>XXXX-XXXX-5184</t>
  </si>
  <si>
    <t>AC2507</t>
  </si>
  <si>
    <t>TX100678</t>
  </si>
  <si>
    <t>AC2505</t>
  </si>
  <si>
    <t>Lin Nir</t>
  </si>
  <si>
    <t>XXXX-XXXX-XXXX-9076</t>
  </si>
  <si>
    <t>lin.nir@yahoo.com</t>
  </si>
  <si>
    <t>Arjun Singh</t>
  </si>
  <si>
    <t>arjun.singh@yahoo.com</t>
  </si>
  <si>
    <t>TX101766</t>
  </si>
  <si>
    <t>AC3002</t>
  </si>
  <si>
    <t>XXXX-XXXX-2156</t>
  </si>
  <si>
    <t>XXXX-XXXX-2317</t>
  </si>
  <si>
    <t>lina.joshi@yahoo.com</t>
  </si>
  <si>
    <t>maya.desai@yahoo.com</t>
  </si>
  <si>
    <t>TX101228</t>
  </si>
  <si>
    <t>XXXX-XXXX-1903</t>
  </si>
  <si>
    <t>isha.bose@example.com</t>
  </si>
  <si>
    <t>suresh.roy@yahoo.com</t>
  </si>
  <si>
    <t>raj.khan@gmail.com</t>
  </si>
  <si>
    <t>TX100950</t>
  </si>
  <si>
    <t>AC2840</t>
  </si>
  <si>
    <t>XXXX-XXXX-4181</t>
  </si>
  <si>
    <t>arjun.royhotmail.com</t>
  </si>
  <si>
    <t>TX100193</t>
  </si>
  <si>
    <t>AC7302</t>
  </si>
  <si>
    <t>XXXX-XXXX-2783</t>
  </si>
  <si>
    <t>TX102343</t>
  </si>
  <si>
    <t>AC9815</t>
  </si>
  <si>
    <t>Sana Desai</t>
  </si>
  <si>
    <t>XXXX-XXXX-XXXX-7051</t>
  </si>
  <si>
    <t>sana.desai@example.com</t>
  </si>
  <si>
    <t>AC8066</t>
  </si>
  <si>
    <t>suresh.patel@gmail.com</t>
  </si>
  <si>
    <t>AC8327</t>
  </si>
  <si>
    <t>XXXX-XXXX-XXXX-1057</t>
  </si>
  <si>
    <t>XXXX-XXXX-8741</t>
  </si>
  <si>
    <t>amit.kumar@yahoo.com</t>
  </si>
  <si>
    <t>TX104510</t>
  </si>
  <si>
    <t>AC5446</t>
  </si>
  <si>
    <t>XXXX-XXXX-XXXX-5112</t>
  </si>
  <si>
    <t>isha.iyer@gmail.com</t>
  </si>
  <si>
    <t>TX101602</t>
  </si>
  <si>
    <t>AC1341</t>
  </si>
  <si>
    <t>XXXX-XXXX-XXXX-1098</t>
  </si>
  <si>
    <t>TX103691</t>
  </si>
  <si>
    <t>AC4944</t>
  </si>
  <si>
    <t>XXXX-XXXX-XXXX-2789</t>
  </si>
  <si>
    <t>arjun.desai@gmail.com</t>
  </si>
  <si>
    <t>TX100315</t>
  </si>
  <si>
    <t>maya.kumar@gmail.com</t>
  </si>
  <si>
    <t>TX105904</t>
  </si>
  <si>
    <t>AC7889</t>
  </si>
  <si>
    <t>XXXX-XXXX-XXXX-2398</t>
  </si>
  <si>
    <t>TX104795</t>
  </si>
  <si>
    <t>AC2298</t>
  </si>
  <si>
    <t>XXXX-XXXX-5286</t>
  </si>
  <si>
    <t>TX105979</t>
  </si>
  <si>
    <t>AC6285</t>
  </si>
  <si>
    <t>XXXX-XXXX-6742</t>
  </si>
  <si>
    <t>XXXX-XXXX-XXXX-2411</t>
  </si>
  <si>
    <t>TX102034</t>
  </si>
  <si>
    <t>XXXX-XXXX-2399</t>
  </si>
  <si>
    <t>AC7008</t>
  </si>
  <si>
    <t>sana.roy@example.com</t>
  </si>
  <si>
    <t>TX100731</t>
  </si>
  <si>
    <t>AC1587</t>
  </si>
  <si>
    <t>XXXX-XXXX-9336</t>
  </si>
  <si>
    <t>sam.desai@gmail.com</t>
  </si>
  <si>
    <t>TX105029</t>
  </si>
  <si>
    <t>AC7739</t>
  </si>
  <si>
    <t>rahul.desai@example.com</t>
  </si>
  <si>
    <t>sana.chopra@gmail.com</t>
  </si>
  <si>
    <t>neha.desai@yahoo.com</t>
  </si>
  <si>
    <t>TX105124</t>
  </si>
  <si>
    <t>AC2573</t>
  </si>
  <si>
    <t>XXXX-XXXX-8036</t>
  </si>
  <si>
    <t>vikram.bose@example.com</t>
  </si>
  <si>
    <t>priya.mehta@yahoo.com</t>
  </si>
  <si>
    <t>TX103274</t>
  </si>
  <si>
    <t>AC8779</t>
  </si>
  <si>
    <t>neha.das@gmail.com</t>
  </si>
  <si>
    <t>TX102866</t>
  </si>
  <si>
    <t>AC4407</t>
  </si>
  <si>
    <t>XXXX-XXXX-8352</t>
  </si>
  <si>
    <t>dev.kumar@example.com</t>
  </si>
  <si>
    <t>XXXX-XXXX-1775</t>
  </si>
  <si>
    <t>TX104738</t>
  </si>
  <si>
    <t>AC5501</t>
  </si>
  <si>
    <t>XXXX-XXXX-6693</t>
  </si>
  <si>
    <t>sana.reddy@gmail.com</t>
  </si>
  <si>
    <t>TX101985</t>
  </si>
  <si>
    <t>AC6931</t>
  </si>
  <si>
    <t>XXXX-XXXX-XXXX-2631</t>
  </si>
  <si>
    <t>sana.kumar@example.com</t>
  </si>
  <si>
    <t>TX104126</t>
  </si>
  <si>
    <t>AC2586</t>
  </si>
  <si>
    <t>lina.joshi@gmail.com</t>
  </si>
  <si>
    <t>TX102850</t>
  </si>
  <si>
    <t>AC8463</t>
  </si>
  <si>
    <t>XXXX-XXXX-XXXX-4390</t>
  </si>
  <si>
    <t>rohit.gupta@hotmail.com</t>
  </si>
  <si>
    <t>sam.singh@example.com</t>
  </si>
  <si>
    <t>arjun.reddy@gmail.com</t>
  </si>
  <si>
    <t>TX100131</t>
  </si>
  <si>
    <t>AC2940</t>
  </si>
  <si>
    <t>sana.gupta@yahoocom</t>
  </si>
  <si>
    <t>TX104920</t>
  </si>
  <si>
    <t>AC4098</t>
  </si>
  <si>
    <t>XXXX-XXXX-XXXX-3266</t>
  </si>
  <si>
    <t>priya.joshi@gmail.com</t>
  </si>
  <si>
    <t>TX105526</t>
  </si>
  <si>
    <t>XXXX-XXXX-XXXX-2030</t>
  </si>
  <si>
    <t>dev.guptahotmail.com</t>
  </si>
  <si>
    <t>TX104096</t>
  </si>
  <si>
    <t>XXXX-XXXX-XXXX-3126</t>
  </si>
  <si>
    <t>isha.khan@gmail.com</t>
  </si>
  <si>
    <t>AC4540</t>
  </si>
  <si>
    <t>TX102141</t>
  </si>
  <si>
    <t>AC9493</t>
  </si>
  <si>
    <t>XXXX-XXXX-8571</t>
  </si>
  <si>
    <t>TX100588</t>
  </si>
  <si>
    <t>AC9606</t>
  </si>
  <si>
    <t>TX102453</t>
  </si>
  <si>
    <t>AC2652</t>
  </si>
  <si>
    <t>XXXX-XXXX-3404</t>
  </si>
  <si>
    <t>maya.iyer@example.com</t>
  </si>
  <si>
    <t>priya.patel@yahoo.com</t>
  </si>
  <si>
    <t>TX101984</t>
  </si>
  <si>
    <t>AC7053</t>
  </si>
  <si>
    <t>XXXX-XXXX-XXXX-2099</t>
  </si>
  <si>
    <t>ritu.reddy@gmail.com</t>
  </si>
  <si>
    <t>AC9593</t>
  </si>
  <si>
    <t>TX102739</t>
  </si>
  <si>
    <t>XXXX-XXXX-2253</t>
  </si>
  <si>
    <t>AC8202</t>
  </si>
  <si>
    <t>XXXX-XXXX-XXXX-3348</t>
  </si>
  <si>
    <t>AC5492</t>
  </si>
  <si>
    <t>TX100486</t>
  </si>
  <si>
    <t>XXXX-XXXX-4864</t>
  </si>
  <si>
    <t>Arjun Joshi</t>
  </si>
  <si>
    <t>uma.khan@hotmail.com</t>
  </si>
  <si>
    <t>TX103223</t>
  </si>
  <si>
    <t>AC9426</t>
  </si>
  <si>
    <t>XXXX-XXXX-9249</t>
  </si>
  <si>
    <t>AC2920</t>
  </si>
  <si>
    <t>TX101143</t>
  </si>
  <si>
    <t>AC7507</t>
  </si>
  <si>
    <t>XXXX-XXXX-XXXX-9717</t>
  </si>
  <si>
    <t>TX100267</t>
  </si>
  <si>
    <t>AC1818</t>
  </si>
  <si>
    <t>XXXX-XXXX-8618</t>
  </si>
  <si>
    <t>dev.reddy@gmail.com</t>
  </si>
  <si>
    <t>TX105950</t>
  </si>
  <si>
    <t>AC4142</t>
  </si>
  <si>
    <t>lina.gupta@example.com</t>
  </si>
  <si>
    <t>sana.nair@example.com</t>
  </si>
  <si>
    <t>anita.das@gmail.com</t>
  </si>
  <si>
    <t>TX100051</t>
  </si>
  <si>
    <t>AC1024</t>
  </si>
  <si>
    <t>XXXX-XXXX-5787</t>
  </si>
  <si>
    <t>sam.khan@yahoo.com</t>
  </si>
  <si>
    <t>TX104936</t>
  </si>
  <si>
    <t>XXXX-XXXX-6800</t>
  </si>
  <si>
    <t>maya.desai@gmail.com</t>
  </si>
  <si>
    <t>TX104623</t>
  </si>
  <si>
    <t>AC1424</t>
  </si>
  <si>
    <t>XXXX-XXXX-5888</t>
  </si>
  <si>
    <t>rahul.desai@hotmail.com</t>
  </si>
  <si>
    <t>XXXX-XXXX-1756</t>
  </si>
  <si>
    <t>asha.singh@example.com</t>
  </si>
  <si>
    <t>karan.bose@hotmail.com</t>
  </si>
  <si>
    <t>TX100350</t>
  </si>
  <si>
    <t>XXXX-XXXX-XXXX-1220</t>
  </si>
  <si>
    <t>XXXX-XXXX-XXXX-2748</t>
  </si>
  <si>
    <t>AC7374</t>
  </si>
  <si>
    <t>TX104724</t>
  </si>
  <si>
    <t>AC6069</t>
  </si>
  <si>
    <t>XXXX-XXXX-3633</t>
  </si>
  <si>
    <t>rohit.reddy@yahoo.com</t>
  </si>
  <si>
    <t>rohit.khan@gmail.com</t>
  </si>
  <si>
    <t>lina.sharma@hotmailcom</t>
  </si>
  <si>
    <t>TX105648</t>
  </si>
  <si>
    <t>AC6409</t>
  </si>
  <si>
    <t>XXXX-XXXX-2462</t>
  </si>
  <si>
    <t>TX105229</t>
  </si>
  <si>
    <t>AC2736</t>
  </si>
  <si>
    <t>XXXX-XXXX-2050</t>
  </si>
  <si>
    <t>TX105589</t>
  </si>
  <si>
    <t>AC6495</t>
  </si>
  <si>
    <t>XXXX-XXXX-XXXX-3496</t>
  </si>
  <si>
    <t>vikram.iyer@yahoo.com</t>
  </si>
  <si>
    <t>priya.singh@gmail.com</t>
  </si>
  <si>
    <t>sana.patel@gmail.com</t>
  </si>
  <si>
    <t>TX101012</t>
  </si>
  <si>
    <t>AC6826</t>
  </si>
  <si>
    <t>XXXX-XXXX-2170</t>
  </si>
  <si>
    <t>TX101557</t>
  </si>
  <si>
    <t>AC3975</t>
  </si>
  <si>
    <t>XXXX-XXXX-6285</t>
  </si>
  <si>
    <t>karan.roy@example.com</t>
  </si>
  <si>
    <t>XXXX-XXXX-1002</t>
  </si>
  <si>
    <t>TX102012</t>
  </si>
  <si>
    <t>AC3951</t>
  </si>
  <si>
    <t>XXXX-XXXX-XXXX-9867</t>
  </si>
  <si>
    <t>arjun.sharma@example.com</t>
  </si>
  <si>
    <t>sam.joshi@example.com</t>
  </si>
  <si>
    <t>XXXX-XXXX-XXXX-1965</t>
  </si>
  <si>
    <t>AC9368</t>
  </si>
  <si>
    <t>rahul.sharma@gmail.com</t>
  </si>
  <si>
    <t>TX105353</t>
  </si>
  <si>
    <t>AC8217</t>
  </si>
  <si>
    <t>ritu.desai@yahoo.com</t>
  </si>
  <si>
    <t>TX101074</t>
  </si>
  <si>
    <t>XXXX-XXXX-2556</t>
  </si>
  <si>
    <t>AC7697</t>
  </si>
  <si>
    <t>AC1949</t>
  </si>
  <si>
    <t>AC5445</t>
  </si>
  <si>
    <t>AC6050</t>
  </si>
  <si>
    <t>TX100513</t>
  </si>
  <si>
    <t>AC6368</t>
  </si>
  <si>
    <t>XXXX-XXXX-2968</t>
  </si>
  <si>
    <t>TX101111</t>
  </si>
  <si>
    <t>AC9115</t>
  </si>
  <si>
    <t>maya.nair@hotmail.com</t>
  </si>
  <si>
    <t>AC6226</t>
  </si>
  <si>
    <t>TX104250</t>
  </si>
  <si>
    <t>XXXX-XXXX-3063</t>
  </si>
  <si>
    <t>XXXX-XXXX-2097</t>
  </si>
  <si>
    <t>TX102004</t>
  </si>
  <si>
    <t>XXXX-XXXX-XXXX-4572</t>
  </si>
  <si>
    <t>AC7328</t>
  </si>
  <si>
    <t>rohit.iyer@example.com</t>
  </si>
  <si>
    <t>AC9117</t>
  </si>
  <si>
    <t>XXXX-XXXX-7803</t>
  </si>
  <si>
    <t>TX104470</t>
  </si>
  <si>
    <t>AC8355</t>
  </si>
  <si>
    <t>rahul.reddy@gmail.com</t>
  </si>
  <si>
    <t>AC5989</t>
  </si>
  <si>
    <t>AC5324</t>
  </si>
  <si>
    <t>XXXX-XXXX-4067</t>
  </si>
  <si>
    <t>TX103780</t>
  </si>
  <si>
    <t>AC7341</t>
  </si>
  <si>
    <t>XXXX-XXXX-XXXX-7212</t>
  </si>
  <si>
    <t>neha.sharma@yahoo.com</t>
  </si>
  <si>
    <t>karan.gupta@gmail.com</t>
  </si>
  <si>
    <t>TX105685</t>
  </si>
  <si>
    <t>AC6695</t>
  </si>
  <si>
    <t>XXXX-XXXX-6161</t>
  </si>
  <si>
    <t>TX100541</t>
  </si>
  <si>
    <t>AC7296</t>
  </si>
  <si>
    <t>XXXX-XXXX-4182</t>
  </si>
  <si>
    <t>arjun.desai@example.com</t>
  </si>
  <si>
    <t>TX104820</t>
  </si>
  <si>
    <t>AC2088</t>
  </si>
  <si>
    <t>XXXX-XXXX-XXXX-1991</t>
  </si>
  <si>
    <t>lina.nair@hotmail.com</t>
  </si>
  <si>
    <t>XXXX-XXXX-1933</t>
  </si>
  <si>
    <t>XXXX-XXXX-9294</t>
  </si>
  <si>
    <t>arjun.joshi@example.com</t>
  </si>
  <si>
    <t>TX102827</t>
  </si>
  <si>
    <t>XXXX-XXXX-5058</t>
  </si>
  <si>
    <t>My Ptel</t>
  </si>
  <si>
    <t>TX102185</t>
  </si>
  <si>
    <t>XXXX-XXXX-3580</t>
  </si>
  <si>
    <t>AC3363</t>
  </si>
  <si>
    <t>TX102408</t>
  </si>
  <si>
    <t>XXXX-XXXX-4945</t>
  </si>
  <si>
    <t>XXXX-XXXX-6761</t>
  </si>
  <si>
    <t>TX102566</t>
  </si>
  <si>
    <t>AC5686</t>
  </si>
  <si>
    <t>XXXX-XXXX-XXXX-7676</t>
  </si>
  <si>
    <t xml:space="preserve">neha.desai@example.com </t>
  </si>
  <si>
    <t>TX104175</t>
  </si>
  <si>
    <t>AC2491</t>
  </si>
  <si>
    <t>XXXX-XXXX-4440</t>
  </si>
  <si>
    <t>priya.iyer@example.com</t>
  </si>
  <si>
    <t>rohit.bose@example.com</t>
  </si>
  <si>
    <t>XXXX-XXXX-6382</t>
  </si>
  <si>
    <t>TX102000</t>
  </si>
  <si>
    <t>AC1848</t>
  </si>
  <si>
    <t>Lin Gupt</t>
  </si>
  <si>
    <t>XXXX-XXXX-1751</t>
  </si>
  <si>
    <t>lin.gupt@hotmail.com</t>
  </si>
  <si>
    <t>TX104670</t>
  </si>
  <si>
    <t>AC6282</t>
  </si>
  <si>
    <t>XXXX-XXXX-3356</t>
  </si>
  <si>
    <t>rohit.sharma@gmail.com</t>
  </si>
  <si>
    <t>TX100284</t>
  </si>
  <si>
    <t>XXXX-XXXX-3661</t>
  </si>
  <si>
    <t>TX102706</t>
  </si>
  <si>
    <t>AC9297</t>
  </si>
  <si>
    <t>XXXX-XXXX-9524</t>
  </si>
  <si>
    <t>anita.patel@yahoo.com</t>
  </si>
  <si>
    <t>lina.desai@yahoo.com</t>
  </si>
  <si>
    <t>TX102546</t>
  </si>
  <si>
    <t>AC9171</t>
  </si>
  <si>
    <t>XXXX-XXXX-XXXX-7770</t>
  </si>
  <si>
    <t>TX104608</t>
  </si>
  <si>
    <t>AC5385</t>
  </si>
  <si>
    <t>TX103027</t>
  </si>
  <si>
    <t>Priy Khn</t>
  </si>
  <si>
    <t>XXXX-XXXX-5270</t>
  </si>
  <si>
    <t>priy.khn@yahoo.com</t>
  </si>
  <si>
    <t>TX102558</t>
  </si>
  <si>
    <t>XXXX-XXXX-3176</t>
  </si>
  <si>
    <t>amit.roy@yahoo.com</t>
  </si>
  <si>
    <t>amit.desai@yahoo.com</t>
  </si>
  <si>
    <t>TX101868</t>
  </si>
  <si>
    <t>AC1446</t>
  </si>
  <si>
    <t>XXXX-XXXX-2100</t>
  </si>
  <si>
    <t xml:space="preserve">karan.bose@yahoo.com </t>
  </si>
  <si>
    <t>sana.nair@hotmail.com</t>
  </si>
  <si>
    <t>TX105524</t>
  </si>
  <si>
    <t>XXXX-XXXX-3867</t>
  </si>
  <si>
    <t>asha.sharma@gmail.com</t>
  </si>
  <si>
    <t>TX105607</t>
  </si>
  <si>
    <t>AC3774</t>
  </si>
  <si>
    <t>XXXX-XXXX-2358</t>
  </si>
  <si>
    <t>anita.desai@hotmail.com</t>
  </si>
  <si>
    <t>dev.iyer@hotmail.com</t>
  </si>
  <si>
    <t>XXXX-XXXX-4932</t>
  </si>
  <si>
    <t>TX104303</t>
  </si>
  <si>
    <t>XXXX-XXXX-7396</t>
  </si>
  <si>
    <t>vikram.patel@yahoo.com</t>
  </si>
  <si>
    <t>TX102022</t>
  </si>
  <si>
    <t>AC5064</t>
  </si>
  <si>
    <t>XXXX-XXXX-XXXX-1113</t>
  </si>
  <si>
    <t>isha.das@gmail.com</t>
  </si>
  <si>
    <t>TX104321</t>
  </si>
  <si>
    <t>AC6686</t>
  </si>
  <si>
    <t>XXXX-XXXX-4505</t>
  </si>
  <si>
    <t>AC8594</t>
  </si>
  <si>
    <t>karan.chopra@gmail.com</t>
  </si>
  <si>
    <t>TX101236</t>
  </si>
  <si>
    <t>AC8764</t>
  </si>
  <si>
    <t>XXXX-XXXX-6792</t>
  </si>
  <si>
    <t>maya.khan@yahoo.com</t>
  </si>
  <si>
    <t>karan.patel@hotmail.com</t>
  </si>
  <si>
    <t>dev.chopra@example.com</t>
  </si>
  <si>
    <t>TX100814</t>
  </si>
  <si>
    <t>AC2515</t>
  </si>
  <si>
    <t>XXXX-XXXX-4774</t>
  </si>
  <si>
    <t>raj.singh@yahoo.com</t>
  </si>
  <si>
    <t>TX105438</t>
  </si>
  <si>
    <t>ritu.kumar@yahoocom</t>
  </si>
  <si>
    <t>TX104526</t>
  </si>
  <si>
    <t>AC9775</t>
  </si>
  <si>
    <t>XXXX-XXXX-6244</t>
  </si>
  <si>
    <t>vikram.chopra@example.com</t>
  </si>
  <si>
    <t>sana.reddy@yahoo.com</t>
  </si>
  <si>
    <t>TX105015</t>
  </si>
  <si>
    <t>AC9130</t>
  </si>
  <si>
    <t>XXXX-XXXX-9098</t>
  </si>
  <si>
    <t>rohit.chopra@hotmailcom</t>
  </si>
  <si>
    <t>AC2398</t>
  </si>
  <si>
    <t>AC7411</t>
  </si>
  <si>
    <t>karan.reddy@example.com</t>
  </si>
  <si>
    <t>sana.reddy@example.com</t>
  </si>
  <si>
    <t>lina.kumar@gmail.com</t>
  </si>
  <si>
    <t>XXXX-XXXX-XXXX-7894</t>
  </si>
  <si>
    <t>TX102466</t>
  </si>
  <si>
    <t>AC6616</t>
  </si>
  <si>
    <t>XXXX-XXXX-4148</t>
  </si>
  <si>
    <t>amit.reddy@example.com</t>
  </si>
  <si>
    <t>TX100487</t>
  </si>
  <si>
    <t>AC9800</t>
  </si>
  <si>
    <t>XXXX-XXXX-2698</t>
  </si>
  <si>
    <t>AC8278</t>
  </si>
  <si>
    <t>TX105088</t>
  </si>
  <si>
    <t>XXXX-XXXX-XXXX-8607</t>
  </si>
  <si>
    <t>raj.khan@hotmail.com</t>
  </si>
  <si>
    <t>TX100589</t>
  </si>
  <si>
    <t>AC2123</t>
  </si>
  <si>
    <t>XXXX-XXXX-XXXX-3364</t>
  </si>
  <si>
    <t>TX104419</t>
  </si>
  <si>
    <t>XXXX-XXXX-6140</t>
  </si>
  <si>
    <t>TX100012</t>
  </si>
  <si>
    <t>AC6429</t>
  </si>
  <si>
    <t>XXXX-XXXX-7953</t>
  </si>
  <si>
    <t>TX103655</t>
  </si>
  <si>
    <t>AC4283</t>
  </si>
  <si>
    <t>XXXX-XXXX-6012</t>
  </si>
  <si>
    <t>uma.joshi@hotmail.com</t>
  </si>
  <si>
    <t>TX104196</t>
  </si>
  <si>
    <t>XXXX-XXXX-XXXX-2162</t>
  </si>
  <si>
    <t>rahul.dashotmail.com</t>
  </si>
  <si>
    <t>TX105217</t>
  </si>
  <si>
    <t>AC8400</t>
  </si>
  <si>
    <t>XXXX-XXXX-XXXX-1776</t>
  </si>
  <si>
    <t>AC5305</t>
  </si>
  <si>
    <t>XXXX-XXXX-XXXX-9373</t>
  </si>
  <si>
    <t>TX105224</t>
  </si>
  <si>
    <t>AC9290</t>
  </si>
  <si>
    <t>XXXX-XXXX-XXXX-1810</t>
  </si>
  <si>
    <t>TX105644</t>
  </si>
  <si>
    <t>AC3735</t>
  </si>
  <si>
    <t>XXXX-XXXX-2398</t>
  </si>
  <si>
    <t>raj.chopra@hotmail.com</t>
  </si>
  <si>
    <t>TX102536</t>
  </si>
  <si>
    <t>XXXX-XXXX-8490</t>
  </si>
  <si>
    <t>TX101919</t>
  </si>
  <si>
    <t>AC1628</t>
  </si>
  <si>
    <t>AC8178</t>
  </si>
  <si>
    <t>sam.das@example.com</t>
  </si>
  <si>
    <t>TX103579</t>
  </si>
  <si>
    <t>AC1354</t>
  </si>
  <si>
    <t>XXXX-XXXX-7692</t>
  </si>
  <si>
    <t>priya.bose@gmail.com</t>
  </si>
  <si>
    <t>TX103971</t>
  </si>
  <si>
    <t>AC2432</t>
  </si>
  <si>
    <t>XXXX-XXXX-7066</t>
  </si>
  <si>
    <t>TX104878</t>
  </si>
  <si>
    <t>TX105775</t>
  </si>
  <si>
    <t>AC8365</t>
  </si>
  <si>
    <t>XXXX-XXXX-XXXX-5495</t>
  </si>
  <si>
    <t>XXXX-XXXX-8312</t>
  </si>
  <si>
    <t>AC7179</t>
  </si>
  <si>
    <t>TX105396</t>
  </si>
  <si>
    <t>AC1322</t>
  </si>
  <si>
    <t>XXXX-XXXX-XXXX-1871</t>
  </si>
  <si>
    <t>TX105923</t>
  </si>
  <si>
    <t>AC8377</t>
  </si>
  <si>
    <t>XXXX-XXXX-XXXX-5624</t>
  </si>
  <si>
    <t>AC6009</t>
  </si>
  <si>
    <t>karan.joshi@yahoo.com</t>
  </si>
  <si>
    <t>TX100030</t>
  </si>
  <si>
    <t>AC1310</t>
  </si>
  <si>
    <t>XXXX-XXXX-8514</t>
  </si>
  <si>
    <t>AC1278</t>
  </si>
  <si>
    <t>XXXX-XXXX-1898</t>
  </si>
  <si>
    <t>TX105836</t>
  </si>
  <si>
    <t>XXXX-XXXX-XXXX-9858</t>
  </si>
  <si>
    <t>rohit.khan@example.com</t>
  </si>
  <si>
    <t>TX104753</t>
  </si>
  <si>
    <t>AC8918</t>
  </si>
  <si>
    <t>TX102785</t>
  </si>
  <si>
    <t>XXXX-XXXX-4461</t>
  </si>
  <si>
    <t>TX105051</t>
  </si>
  <si>
    <t>AC7040</t>
  </si>
  <si>
    <t>XXXX-XXXX-XXXX-4695</t>
  </si>
  <si>
    <t>AC5407</t>
  </si>
  <si>
    <t>XXXX-XXXX-XXXX-2811</t>
  </si>
  <si>
    <t>TX104790</t>
  </si>
  <si>
    <t>AC6353</t>
  </si>
  <si>
    <t>XXXX-XXXX-1340</t>
  </si>
  <si>
    <t>rohit.reddy@hotmail.com</t>
  </si>
  <si>
    <t>isha.bose@hotmail.com</t>
  </si>
  <si>
    <t>anita.nair@yahoo.com</t>
  </si>
  <si>
    <t>TX103375</t>
  </si>
  <si>
    <t>AC7502</t>
  </si>
  <si>
    <t>XXXX-XXXX-XXXX-7596</t>
  </si>
  <si>
    <t>TX103554</t>
  </si>
  <si>
    <t>AC8254</t>
  </si>
  <si>
    <t>XXXX-XXXX-9605</t>
  </si>
  <si>
    <t>TX100903</t>
  </si>
  <si>
    <t>AC6523</t>
  </si>
  <si>
    <t>XXXX-XXXX-XXXX-3299</t>
  </si>
  <si>
    <t>TX102878</t>
  </si>
  <si>
    <t>AC3569</t>
  </si>
  <si>
    <t>XXXX-XXXX-7609</t>
  </si>
  <si>
    <t>sana.khan@hotmailcom</t>
  </si>
  <si>
    <t>TX104854</t>
  </si>
  <si>
    <t>AC9075</t>
  </si>
  <si>
    <t>XXXX-XXXX-XXXX-3274</t>
  </si>
  <si>
    <t>TX105074</t>
  </si>
  <si>
    <t>AC1913</t>
  </si>
  <si>
    <t>XXXX-XXXX-5132</t>
  </si>
  <si>
    <t>TX102924</t>
  </si>
  <si>
    <t>AC6272</t>
  </si>
  <si>
    <t>AC2825</t>
  </si>
  <si>
    <t>TX105713</t>
  </si>
  <si>
    <t>AC6964</t>
  </si>
  <si>
    <t>XXXX-XXXX-8965</t>
  </si>
  <si>
    <t>TX100240</t>
  </si>
  <si>
    <t>AC5518</t>
  </si>
  <si>
    <t>XXXX-XXXX-2959</t>
  </si>
  <si>
    <t>TX100727</t>
  </si>
  <si>
    <t>AC7349</t>
  </si>
  <si>
    <t>XXXX-XXXX-3695</t>
  </si>
  <si>
    <t>TX103629</t>
  </si>
  <si>
    <t>AC7045</t>
  </si>
  <si>
    <t>XXXX-XXXX-5657</t>
  </si>
  <si>
    <t>rohit.kumar@yahoo.com</t>
  </si>
  <si>
    <t>TX104079</t>
  </si>
  <si>
    <t>AC1586</t>
  </si>
  <si>
    <t>rohit.singh@hotmail.com</t>
  </si>
  <si>
    <t>XXXX-XXXX-5202</t>
  </si>
  <si>
    <t>TX105305</t>
  </si>
  <si>
    <t>AC5606</t>
  </si>
  <si>
    <t>XXXX-XXXX-2746</t>
  </si>
  <si>
    <t>lina.desai@gmail.com</t>
  </si>
  <si>
    <t>dev.singh@gmail.com</t>
  </si>
  <si>
    <t>AC9848</t>
  </si>
  <si>
    <t>dev.joshi@yahoo.com</t>
  </si>
  <si>
    <t>TX105576</t>
  </si>
  <si>
    <t>AC1542</t>
  </si>
  <si>
    <t>XXXX-XXXX-XXXX-6768</t>
  </si>
  <si>
    <t>TX104547</t>
  </si>
  <si>
    <t>XXXX-XXXX-4924</t>
  </si>
  <si>
    <t>neha.sharma@example.com</t>
  </si>
  <si>
    <t>TX102315</t>
  </si>
  <si>
    <t>AC9562</t>
  </si>
  <si>
    <t>TX103338</t>
  </si>
  <si>
    <t>AC9681</t>
  </si>
  <si>
    <t>AC5733</t>
  </si>
  <si>
    <t>TX102508</t>
  </si>
  <si>
    <t>AC6921</t>
  </si>
  <si>
    <t>TX102407</t>
  </si>
  <si>
    <t>AC5957</t>
  </si>
  <si>
    <t>XXXX-XXXX-XXXX-4685</t>
  </si>
  <si>
    <t>TX102053</t>
  </si>
  <si>
    <t>XXXX-XXXX-2432</t>
  </si>
  <si>
    <t>TX102318</t>
  </si>
  <si>
    <t>AC9836</t>
  </si>
  <si>
    <t>XXXX-XXXX-5194</t>
  </si>
  <si>
    <t xml:space="preserve">anita.reddy@example.com </t>
  </si>
  <si>
    <t>TX104149</t>
  </si>
  <si>
    <t>XXXX-XXXX-XXXX-1060</t>
  </si>
  <si>
    <t>uma.khan@example.com</t>
  </si>
  <si>
    <t>maya.das@example.com</t>
  </si>
  <si>
    <t>TX100910</t>
  </si>
  <si>
    <t>AC1251</t>
  </si>
  <si>
    <t>ritu.reddy@yahoo.com</t>
  </si>
  <si>
    <t>TX105935</t>
  </si>
  <si>
    <t>AC2960</t>
  </si>
  <si>
    <t>XXXX-XXXX-9897</t>
  </si>
  <si>
    <t>AC8998</t>
  </si>
  <si>
    <t>TX100167</t>
  </si>
  <si>
    <t>AC8459</t>
  </si>
  <si>
    <t>rahul.mehtaexample.com</t>
  </si>
  <si>
    <t>priya.sharma@yahoo.com</t>
  </si>
  <si>
    <t>TX105474</t>
  </si>
  <si>
    <t>XXXX-XXXX-2771</t>
  </si>
  <si>
    <t>AC1090</t>
  </si>
  <si>
    <t>TX103703</t>
  </si>
  <si>
    <t>XXXX-XXXX-2159</t>
  </si>
  <si>
    <t>amit.das@gmail.com</t>
  </si>
  <si>
    <t>TX100205</t>
  </si>
  <si>
    <t xml:space="preserve">ritu.nair@yahoo.com </t>
  </si>
  <si>
    <t>AC4208</t>
  </si>
  <si>
    <t>TX101376</t>
  </si>
  <si>
    <t>AC5094</t>
  </si>
  <si>
    <t>XXXX-XXXX-XXXX-4660</t>
  </si>
  <si>
    <t>AC6336</t>
  </si>
  <si>
    <t>arjun.bose@hotmail.com</t>
  </si>
  <si>
    <t>arjun.singh@gmail.com</t>
  </si>
  <si>
    <t>neha.bose@gmail.com</t>
  </si>
  <si>
    <t>TX101601</t>
  </si>
  <si>
    <t>AC7649</t>
  </si>
  <si>
    <t>TX104179</t>
  </si>
  <si>
    <t>AC9862</t>
  </si>
  <si>
    <t>XXXX-XXXX-XXXX-6290</t>
  </si>
  <si>
    <t>TX104389</t>
  </si>
  <si>
    <t>AC5943</t>
  </si>
  <si>
    <t>XXXX-XXXX-9841</t>
  </si>
  <si>
    <t>arjun.singh@hotmail.com</t>
  </si>
  <si>
    <t>XXXX-XXXX-1805</t>
  </si>
  <si>
    <t>lina.reddy@gmail.com</t>
  </si>
  <si>
    <t>TX105846</t>
  </si>
  <si>
    <t>TX105712</t>
  </si>
  <si>
    <t>AC5232</t>
  </si>
  <si>
    <t>dev CHOPRA</t>
  </si>
  <si>
    <t>dev.chopra@hotmail.com</t>
  </si>
  <si>
    <t>XXXX-XXXX-2552</t>
  </si>
  <si>
    <t>XXXX-XXXX-7987</t>
  </si>
  <si>
    <t>TX102555</t>
  </si>
  <si>
    <t>AC7953</t>
  </si>
  <si>
    <t>TX103665</t>
  </si>
  <si>
    <t>AC6245</t>
  </si>
  <si>
    <t>XXXX-XXXX-6817</t>
  </si>
  <si>
    <t>TX102358</t>
  </si>
  <si>
    <t>AC1035</t>
  </si>
  <si>
    <t>XXXX-XXXX-3687</t>
  </si>
  <si>
    <t>AC1478</t>
  </si>
  <si>
    <t>AC7736</t>
  </si>
  <si>
    <t>TX103845</t>
  </si>
  <si>
    <t>AC3385</t>
  </si>
  <si>
    <t>TX103130</t>
  </si>
  <si>
    <t>AC7396</t>
  </si>
  <si>
    <t>XXXX-XXXX-XXXX-4417</t>
  </si>
  <si>
    <t>AC1453</t>
  </si>
  <si>
    <t>TX102166</t>
  </si>
  <si>
    <t>priya.royexample.com</t>
  </si>
  <si>
    <t>TX104230</t>
  </si>
  <si>
    <t>AC9801</t>
  </si>
  <si>
    <t>XXXX-XXXX-5911</t>
  </si>
  <si>
    <t>suresh.khan@gmailcom</t>
  </si>
  <si>
    <t>TX104465</t>
  </si>
  <si>
    <t>AC1227</t>
  </si>
  <si>
    <t>TX105303</t>
  </si>
  <si>
    <t>AC8306</t>
  </si>
  <si>
    <t>sam.mehta@example.com</t>
  </si>
  <si>
    <t>AC9931</t>
  </si>
  <si>
    <t>TX105506</t>
  </si>
  <si>
    <t>AC7148</t>
  </si>
  <si>
    <t>XXXX-XXXX-4972</t>
  </si>
  <si>
    <t>Vikrm Iyer</t>
  </si>
  <si>
    <t>sam.singh@hotmail.com</t>
  </si>
  <si>
    <t>TX105211</t>
  </si>
  <si>
    <t>AC6696</t>
  </si>
  <si>
    <t>TX101511</t>
  </si>
  <si>
    <t>AC7520</t>
  </si>
  <si>
    <t>XXXX-XXXX-7838</t>
  </si>
  <si>
    <t>TX102740</t>
  </si>
  <si>
    <t>AC3621</t>
  </si>
  <si>
    <t>XXXX-XXXX-2128</t>
  </si>
  <si>
    <t>suresh.nair@example.com</t>
  </si>
  <si>
    <t>TX101605</t>
  </si>
  <si>
    <t>AC5782</t>
  </si>
  <si>
    <t>XXXX-XXXX-8055</t>
  </si>
  <si>
    <t>TX105118</t>
  </si>
  <si>
    <t>AC7949</t>
  </si>
  <si>
    <t>XXXX-XXXX-XXXX-7794</t>
  </si>
  <si>
    <t>TX100907</t>
  </si>
  <si>
    <t>AC6952</t>
  </si>
  <si>
    <t>anita BOSE</t>
  </si>
  <si>
    <t>TX104688</t>
  </si>
  <si>
    <t>AC6868</t>
  </si>
  <si>
    <t>XXXX-XXXX-6179</t>
  </si>
  <si>
    <t>TX105146</t>
  </si>
  <si>
    <t>AC5304</t>
  </si>
  <si>
    <t>XXXX-XXXX-XXXX-8318</t>
  </si>
  <si>
    <t>TX101362</t>
  </si>
  <si>
    <t>XXXX-XXXX-8789</t>
  </si>
  <si>
    <t>TX104030</t>
  </si>
  <si>
    <t>AC7091</t>
  </si>
  <si>
    <t>XXXX-XXXX-6196</t>
  </si>
  <si>
    <t>AC1890</t>
  </si>
  <si>
    <t>AC3167</t>
  </si>
  <si>
    <t>XXXX-XXXX-7543</t>
  </si>
  <si>
    <t>TX100820</t>
  </si>
  <si>
    <t>XXXX-XXXX-7358</t>
  </si>
  <si>
    <t>TX101515</t>
  </si>
  <si>
    <t>TX105863</t>
  </si>
  <si>
    <t>XXXX-XXXX-2786</t>
  </si>
  <si>
    <t>TX103626</t>
  </si>
  <si>
    <t>AC3829</t>
  </si>
  <si>
    <t>XXXX-XXXX-7664</t>
  </si>
  <si>
    <t>TX100598</t>
  </si>
  <si>
    <t>AC1420</t>
  </si>
  <si>
    <t>XXXX-XXXX-XXXX-6443</t>
  </si>
  <si>
    <t>TX100158</t>
  </si>
  <si>
    <t>AC6094</t>
  </si>
  <si>
    <t>XXXX-XXXX-6254</t>
  </si>
  <si>
    <t>TX104563</t>
  </si>
  <si>
    <t>AC8761</t>
  </si>
  <si>
    <t>AC8143</t>
  </si>
  <si>
    <t>TX103636</t>
  </si>
  <si>
    <t>AC7725</t>
  </si>
  <si>
    <t>XXXX-XXXX-XXXX-3759</t>
  </si>
  <si>
    <t>TX102920</t>
  </si>
  <si>
    <t>AC2316</t>
  </si>
  <si>
    <t>TX105126</t>
  </si>
  <si>
    <t>AC4248</t>
  </si>
  <si>
    <t>XXXX-XXXX-6697</t>
  </si>
  <si>
    <t>uma.roy@yahoo.com</t>
  </si>
  <si>
    <t>TX105102</t>
  </si>
  <si>
    <t>AC3003</t>
  </si>
  <si>
    <t>XXXX-XXXX-XXXX-5586</t>
  </si>
  <si>
    <t>TX102512</t>
  </si>
  <si>
    <t>AC9275</t>
  </si>
  <si>
    <t>XXXX-XXXX-XXXX-5332</t>
  </si>
  <si>
    <t>AC3776</t>
  </si>
  <si>
    <t>TX101016</t>
  </si>
  <si>
    <t>AC1782</t>
  </si>
  <si>
    <t>XXXX-XXXX-XXXX-9131</t>
  </si>
  <si>
    <t>TX102724</t>
  </si>
  <si>
    <t>TX102097</t>
  </si>
  <si>
    <t>AC3606</t>
  </si>
  <si>
    <t>XXXX-XXXX-XXXX-8030</t>
  </si>
  <si>
    <t>AC4477</t>
  </si>
  <si>
    <t>XXXX-XXXX-5742</t>
  </si>
  <si>
    <t>TX105292</t>
  </si>
  <si>
    <t>AC3133</t>
  </si>
  <si>
    <t>XXXX-XXXX-XXXX-2034</t>
  </si>
  <si>
    <t>TX101611</t>
  </si>
  <si>
    <t>AC2386</t>
  </si>
  <si>
    <t>XXXX-XXXX-6250</t>
  </si>
  <si>
    <t>TX100936</t>
  </si>
  <si>
    <t>AC1928</t>
  </si>
  <si>
    <t>XXXX-XXXX-5652</t>
  </si>
  <si>
    <t>vikram.gupta@hotmail.com</t>
  </si>
  <si>
    <t>TX105332</t>
  </si>
  <si>
    <t>AC8234</t>
  </si>
  <si>
    <t>XXXX-XXXX-6125</t>
  </si>
  <si>
    <t>amit.bose@example.com</t>
  </si>
  <si>
    <t>TX101298</t>
  </si>
  <si>
    <t>TX101942</t>
  </si>
  <si>
    <t>AC3859</t>
  </si>
  <si>
    <t>AC6705</t>
  </si>
  <si>
    <t>TX103572</t>
  </si>
  <si>
    <t>AC4838</t>
  </si>
  <si>
    <t>XXXX-XXXX-2196</t>
  </si>
  <si>
    <t>TX104285</t>
  </si>
  <si>
    <t>XXXX-XXXX-9579</t>
  </si>
  <si>
    <t>TX103594</t>
  </si>
  <si>
    <t>AC4686</t>
  </si>
  <si>
    <t>XXXX-XXXX-XXXX-7253</t>
  </si>
  <si>
    <t>TX103180</t>
  </si>
  <si>
    <t>XXXX-XXXX-XXXX-8147</t>
  </si>
  <si>
    <t>TX105917</t>
  </si>
  <si>
    <t>Dv Nair</t>
  </si>
  <si>
    <t>XXXX-XXXX-5781</t>
  </si>
  <si>
    <t>dv.nair@hotmail.com</t>
  </si>
  <si>
    <t>TX102782</t>
  </si>
  <si>
    <t>AC1000</t>
  </si>
  <si>
    <t>XXXX-XXXX-XXXX-1016</t>
  </si>
  <si>
    <t>TX100848</t>
  </si>
  <si>
    <t>Priya Bse</t>
  </si>
  <si>
    <t>XXXX-XXXX-4197</t>
  </si>
  <si>
    <t>priya.bse@hotmail.com</t>
  </si>
  <si>
    <t>TX102189</t>
  </si>
  <si>
    <t>AC5118</t>
  </si>
  <si>
    <t>XXXX-XXXX-5364</t>
  </si>
  <si>
    <t>TX101892</t>
  </si>
  <si>
    <t>AC1792</t>
  </si>
  <si>
    <t>XXXX-XXXX-2250</t>
  </si>
  <si>
    <t>TX102910</t>
  </si>
  <si>
    <t>XXXX-XXXX-2019</t>
  </si>
  <si>
    <t>TX101197</t>
  </si>
  <si>
    <t>AC5183</t>
  </si>
  <si>
    <t>XXXX-XXXX-1031</t>
  </si>
  <si>
    <t>raj.joshi@example.com</t>
  </si>
  <si>
    <t>TX101642</t>
  </si>
  <si>
    <t>AC2889</t>
  </si>
  <si>
    <t>XXXX-XXXX-XXXX-1760</t>
  </si>
  <si>
    <t>AC7119</t>
  </si>
  <si>
    <t>AC9235</t>
  </si>
  <si>
    <t>TX102223</t>
  </si>
  <si>
    <t>XXXX-XXXX-3838</t>
  </si>
  <si>
    <t>TX103922</t>
  </si>
  <si>
    <t>AC7980</t>
  </si>
  <si>
    <t>XXXX-XXXX-XXXX-3958</t>
  </si>
  <si>
    <t>XXXX-XXXX-7870</t>
  </si>
  <si>
    <t>rahul.kumar@example.com</t>
  </si>
  <si>
    <t>TX104350</t>
  </si>
  <si>
    <t>AC6112</t>
  </si>
  <si>
    <t>TX102887</t>
  </si>
  <si>
    <t>AC9870</t>
  </si>
  <si>
    <t>XXXX-XXXX-6771</t>
  </si>
  <si>
    <t>TX100805</t>
  </si>
  <si>
    <t>XXXX-XXXX-5794</t>
  </si>
  <si>
    <t>TX102085</t>
  </si>
  <si>
    <t>AC8736</t>
  </si>
  <si>
    <t>XXXX-XXXX-2421</t>
  </si>
  <si>
    <t>dev.kumar@gmail.com</t>
  </si>
  <si>
    <t>TX102927</t>
  </si>
  <si>
    <t>AC3406</t>
  </si>
  <si>
    <t>arjun.mehta@example.com</t>
  </si>
  <si>
    <t>TX100526</t>
  </si>
  <si>
    <t>AC7334</t>
  </si>
  <si>
    <t>XXXX-XXXX-XXXX-1479</t>
  </si>
  <si>
    <t>AC3277</t>
  </si>
  <si>
    <t>TX102136</t>
  </si>
  <si>
    <t>AC8901</t>
  </si>
  <si>
    <t>XXXX-XXXX-8086</t>
  </si>
  <si>
    <t>anita.singh@yahoocom</t>
  </si>
  <si>
    <t>TX102011</t>
  </si>
  <si>
    <t>AC5295</t>
  </si>
  <si>
    <t>XXXX-XXXX-XXXX-2343</t>
  </si>
  <si>
    <t>TX102048</t>
  </si>
  <si>
    <t>XXXX-XXXX-4957</t>
  </si>
  <si>
    <t xml:space="preserve">ritu.roy@gmail.com </t>
  </si>
  <si>
    <t>vikram.das@gmail.com</t>
  </si>
  <si>
    <t>TX103804</t>
  </si>
  <si>
    <t>AC3557</t>
  </si>
  <si>
    <t>TX105450</t>
  </si>
  <si>
    <t>AC7648</t>
  </si>
  <si>
    <t>XXXX-XXXX-XXXX-2995</t>
  </si>
  <si>
    <t>AC6656</t>
  </si>
  <si>
    <t>TX104065</t>
  </si>
  <si>
    <t>AC9088</t>
  </si>
  <si>
    <t>XXXX-XXXX-8511</t>
  </si>
  <si>
    <t>karan.singh@yahoo.com</t>
  </si>
  <si>
    <t>TX104537</t>
  </si>
  <si>
    <t>AC4266</t>
  </si>
  <si>
    <t>XXXX-XXXX-4728</t>
  </si>
  <si>
    <t>AC2944</t>
  </si>
  <si>
    <t>TX103342</t>
  </si>
  <si>
    <t>XXXX-XXXX-2274</t>
  </si>
  <si>
    <t>maya.nair@yahoo.com</t>
  </si>
  <si>
    <t>XXXX-XXXX-XXXX-4959</t>
  </si>
  <si>
    <t>TX102795</t>
  </si>
  <si>
    <t>AC1837</t>
  </si>
  <si>
    <t>XXXX-XXXX-6561</t>
  </si>
  <si>
    <t>XXXX-XXXX-8597</t>
  </si>
  <si>
    <t>TX104963</t>
  </si>
  <si>
    <t>AC5485</t>
  </si>
  <si>
    <t>XXXX-XXXX-6914</t>
  </si>
  <si>
    <t>uma.royhotmail.com</t>
  </si>
  <si>
    <t>TX102164</t>
  </si>
  <si>
    <t>AC9753</t>
  </si>
  <si>
    <t>XXXX-XXXX-XXXX-8910</t>
  </si>
  <si>
    <t>karan.mehta@example.com</t>
  </si>
  <si>
    <t>TX102752</t>
  </si>
  <si>
    <t>AC8611</t>
  </si>
  <si>
    <t>XXXX-XXXX-XXXX-6747</t>
  </si>
  <si>
    <t>rohit.gupta@gmail.com</t>
  </si>
  <si>
    <t>TX105634</t>
  </si>
  <si>
    <t>XXXX-XXXX-1659</t>
  </si>
  <si>
    <t>TX102227</t>
  </si>
  <si>
    <t>XXXX-XXXX-XXXX-7065</t>
  </si>
  <si>
    <t>TX104074</t>
  </si>
  <si>
    <t>AC6279</t>
  </si>
  <si>
    <t>XXXX-XXXX-3944</t>
  </si>
  <si>
    <t>asha.iyer@example.com</t>
  </si>
  <si>
    <t>TX102682</t>
  </si>
  <si>
    <t>AC7338</t>
  </si>
  <si>
    <t>XXXX-XXXX-7195</t>
  </si>
  <si>
    <t>TX101041</t>
  </si>
  <si>
    <t>AC6281</t>
  </si>
  <si>
    <t>XXXX-XXXX-8151</t>
  </si>
  <si>
    <t>TX102764</t>
  </si>
  <si>
    <t>AC4899</t>
  </si>
  <si>
    <t>XXXX-XXXX-XXXX-1598</t>
  </si>
  <si>
    <t>AC4543</t>
  </si>
  <si>
    <t>uma.gupta@gmail.com</t>
  </si>
  <si>
    <t>TX103817</t>
  </si>
  <si>
    <t>AC3853</t>
  </si>
  <si>
    <t>XXXX-XXXX-6648</t>
  </si>
  <si>
    <t>TX102059</t>
  </si>
  <si>
    <t>AC3548</t>
  </si>
  <si>
    <t>TX104387</t>
  </si>
  <si>
    <t>AC4966</t>
  </si>
  <si>
    <t>XXXX-XXXX-5930</t>
  </si>
  <si>
    <t>sana.das@example.com</t>
  </si>
  <si>
    <t>TX102398</t>
  </si>
  <si>
    <t>AC9769</t>
  </si>
  <si>
    <t>XXXX-XXXX-XXXX-6614</t>
  </si>
  <si>
    <t>TX103285</t>
  </si>
  <si>
    <t>XXXX-XXXX-2357</t>
  </si>
  <si>
    <t>TX103413</t>
  </si>
  <si>
    <t>XXXX-XXXX-6581</t>
  </si>
  <si>
    <t>TX105487</t>
  </si>
  <si>
    <t>AC2859</t>
  </si>
  <si>
    <t>XXXX-XXXX-1058</t>
  </si>
  <si>
    <t>TX100076</t>
  </si>
  <si>
    <t>AC8097</t>
  </si>
  <si>
    <t>XXXX-XXXX-XXXX-2730</t>
  </si>
  <si>
    <t>TX101799</t>
  </si>
  <si>
    <t>AC8477</t>
  </si>
  <si>
    <t>XXXX-XXXX-7506</t>
  </si>
  <si>
    <t>TX100192</t>
  </si>
  <si>
    <t>TX104359</t>
  </si>
  <si>
    <t>AC7287</t>
  </si>
  <si>
    <t>XXXX-XXXX-5009</t>
  </si>
  <si>
    <t>TX102681</t>
  </si>
  <si>
    <t>XXXX-XXXX-9494</t>
  </si>
  <si>
    <t>karan.nair@yahoo.com</t>
  </si>
  <si>
    <t>AC5405</t>
  </si>
  <si>
    <t>TX100649</t>
  </si>
  <si>
    <t>AC2716</t>
  </si>
  <si>
    <t>XXXX-XXXX-XXXX-2454</t>
  </si>
  <si>
    <t>suresh.nair@hotmail.com</t>
  </si>
  <si>
    <t>TX101404</t>
  </si>
  <si>
    <t>AC1612</t>
  </si>
  <si>
    <t>maya.mehta@yahoo.com</t>
  </si>
  <si>
    <t>TX105968</t>
  </si>
  <si>
    <t>AC1241</t>
  </si>
  <si>
    <t>XXXX-XXXX-1370</t>
  </si>
  <si>
    <t>suresh.gupta@gmail.com</t>
  </si>
  <si>
    <t>sana.sharma@hotmail.com</t>
  </si>
  <si>
    <t>TX101534</t>
  </si>
  <si>
    <t>AC7149</t>
  </si>
  <si>
    <t>XXXX-XXXX-9880</t>
  </si>
  <si>
    <t>TX104592</t>
  </si>
  <si>
    <t>XXXX-XXXX-6105</t>
  </si>
  <si>
    <t>suresh.iyer@example.com</t>
  </si>
  <si>
    <t>TX104573</t>
  </si>
  <si>
    <t>AC2234</t>
  </si>
  <si>
    <t>rahul.kumar@hotmail.com</t>
  </si>
  <si>
    <t>TX105741</t>
  </si>
  <si>
    <t>AC1386</t>
  </si>
  <si>
    <t>XXXX-XXXX-1078</t>
  </si>
  <si>
    <t>TX105908</t>
  </si>
  <si>
    <t>AC7211</t>
  </si>
  <si>
    <t>TX104366</t>
  </si>
  <si>
    <t>TX105101</t>
  </si>
  <si>
    <t>AC5697</t>
  </si>
  <si>
    <t>XXXX-XXXX-1328</t>
  </si>
  <si>
    <t>TX103650</t>
  </si>
  <si>
    <t>XXXX-XXXX-XXXX-5766</t>
  </si>
  <si>
    <t>uma.dasexample.com</t>
  </si>
  <si>
    <t>TX104455</t>
  </si>
  <si>
    <t>AC7167</t>
  </si>
  <si>
    <t>anita CHOPRA</t>
  </si>
  <si>
    <t>XXXX-XXXX-2145</t>
  </si>
  <si>
    <t>TX102162</t>
  </si>
  <si>
    <t>XXXX-XXXX-6194</t>
  </si>
  <si>
    <t>TX105192</t>
  </si>
  <si>
    <t>AC8770</t>
  </si>
  <si>
    <t>XXXX-XXXX-XXXX-5577</t>
  </si>
  <si>
    <t>TX102841</t>
  </si>
  <si>
    <t>AC1868</t>
  </si>
  <si>
    <t>TX102369</t>
  </si>
  <si>
    <t>AC8113</t>
  </si>
  <si>
    <t>TX101224</t>
  </si>
  <si>
    <t>AC1226</t>
  </si>
  <si>
    <t>TX105414</t>
  </si>
  <si>
    <t>XXXX-XXXX-4947</t>
  </si>
  <si>
    <t>asha.iyeryahoo.com</t>
  </si>
  <si>
    <t>TX105785</t>
  </si>
  <si>
    <t>AC5260</t>
  </si>
  <si>
    <t>XXXX-XXXX-XXXX-1980</t>
  </si>
  <si>
    <t>TX105558</t>
  </si>
  <si>
    <t>AC3693</t>
  </si>
  <si>
    <t>XXXX-XXXX-8472</t>
  </si>
  <si>
    <t>anita.mehta@hotmail.com</t>
  </si>
  <si>
    <t>TX101264</t>
  </si>
  <si>
    <t>XXXX-XXXX-7108</t>
  </si>
  <si>
    <t>TX105851</t>
  </si>
  <si>
    <t>AC6922</t>
  </si>
  <si>
    <t>XXXX-XXXX-2343</t>
  </si>
  <si>
    <t>ritu.khan@example.com</t>
  </si>
  <si>
    <t>TX100013</t>
  </si>
  <si>
    <t>rahul MEHTA</t>
  </si>
  <si>
    <t>XXXX-XXXX-XXXX-9824</t>
  </si>
  <si>
    <t>TX103217</t>
  </si>
  <si>
    <t>AC5423</t>
  </si>
  <si>
    <t>TX105554</t>
  </si>
  <si>
    <t>TX100046</t>
  </si>
  <si>
    <t>XXXX-XXXX-XXXX-6389</t>
  </si>
  <si>
    <t>TX105286</t>
  </si>
  <si>
    <t>AC9450</t>
  </si>
  <si>
    <t>XXXX-XXXX-1178</t>
  </si>
  <si>
    <t>TX105086</t>
  </si>
  <si>
    <t>XXXX-XXXX-XXXX-7336</t>
  </si>
  <si>
    <t>TX104410</t>
  </si>
  <si>
    <t>AC2408</t>
  </si>
  <si>
    <t>XXXX-XXXX-1448</t>
  </si>
  <si>
    <t>amit.patel@example.com</t>
  </si>
  <si>
    <t>AC8387</t>
  </si>
  <si>
    <t>TX100086</t>
  </si>
  <si>
    <t>AC4044</t>
  </si>
  <si>
    <t>TX103046</t>
  </si>
  <si>
    <t>AC6772</t>
  </si>
  <si>
    <t>XXXX-XXXX-5033</t>
  </si>
  <si>
    <t>TX105397</t>
  </si>
  <si>
    <t>AC2167</t>
  </si>
  <si>
    <t>XXXX-XXXX-6915</t>
  </si>
  <si>
    <t>TX100999</t>
  </si>
  <si>
    <t>AC8111</t>
  </si>
  <si>
    <t>XXXX-XXXX-4721</t>
  </si>
  <si>
    <t>TX104488</t>
  </si>
  <si>
    <t>AC6866</t>
  </si>
  <si>
    <t>suresh.reddy@gmailcom</t>
  </si>
  <si>
    <t>TX100518</t>
  </si>
  <si>
    <t>AC1197</t>
  </si>
  <si>
    <t>anita.singh@hotmail.com</t>
  </si>
  <si>
    <t>TX105738</t>
  </si>
  <si>
    <t>TX101960</t>
  </si>
  <si>
    <t>AC7196</t>
  </si>
  <si>
    <t>XXXX-XXXX-XXXX-7906</t>
  </si>
  <si>
    <t>TX101274</t>
  </si>
  <si>
    <t>TX100480</t>
  </si>
  <si>
    <t>AC9344</t>
  </si>
  <si>
    <t>TX104286</t>
  </si>
  <si>
    <t>AC1713</t>
  </si>
  <si>
    <t>TX100464</t>
  </si>
  <si>
    <t>AC2040</t>
  </si>
  <si>
    <t>XXXX-XXXX-XXXX-7655</t>
  </si>
  <si>
    <t>TX101348</t>
  </si>
  <si>
    <t>AC2162</t>
  </si>
  <si>
    <t>XXXX-XXXX-XXXX-1955</t>
  </si>
  <si>
    <t xml:space="preserve">sana.reddy@hotmail.com </t>
  </si>
  <si>
    <t>AC2715</t>
  </si>
  <si>
    <t>TX102245</t>
  </si>
  <si>
    <t>XXXX-XXXX-9660</t>
  </si>
  <si>
    <t>TX104349</t>
  </si>
  <si>
    <t>Vikram Dsai</t>
  </si>
  <si>
    <t>XXXX-XXXX-3002</t>
  </si>
  <si>
    <t>vikram.dsai@hotmail.com</t>
  </si>
  <si>
    <t>TX100286</t>
  </si>
  <si>
    <t>AC8680</t>
  </si>
  <si>
    <t>XXXX-XXXX-XXXX-6734</t>
  </si>
  <si>
    <t>TX103108</t>
  </si>
  <si>
    <t>AC8549</t>
  </si>
  <si>
    <t>XXXX-XXXX-9460</t>
  </si>
  <si>
    <t>TX102216</t>
  </si>
  <si>
    <t>AC7468</t>
  </si>
  <si>
    <t>XXXX-XXXX-5378</t>
  </si>
  <si>
    <t>TX100251</t>
  </si>
  <si>
    <t>AC2063</t>
  </si>
  <si>
    <t>XXXX-XXXX-7778</t>
  </si>
  <si>
    <t>TX103034</t>
  </si>
  <si>
    <t>AC3749</t>
  </si>
  <si>
    <t>XXXX-XXXX-XXXX-2039</t>
  </si>
  <si>
    <t>AC5889</t>
  </si>
  <si>
    <t>AC3710</t>
  </si>
  <si>
    <t>neha.bose@yahoo.com</t>
  </si>
  <si>
    <t>TX103459</t>
  </si>
  <si>
    <t>XXXX-XXXX-XXXX-7012</t>
  </si>
  <si>
    <t>AC5043</t>
  </si>
  <si>
    <t>TX104219</t>
  </si>
  <si>
    <t>XXXX-XXXX-XXXX-9421</t>
  </si>
  <si>
    <t>TX100549</t>
  </si>
  <si>
    <t>AC3387</t>
  </si>
  <si>
    <t>TX105493</t>
  </si>
  <si>
    <t>AC6754</t>
  </si>
  <si>
    <t>XXXX-XXXX-9306</t>
  </si>
  <si>
    <t>TX101821</t>
  </si>
  <si>
    <t>AC8869</t>
  </si>
  <si>
    <t>XXXX-XXXX-9699</t>
  </si>
  <si>
    <t>TX104421</t>
  </si>
  <si>
    <t>AC6407</t>
  </si>
  <si>
    <t>TX103128</t>
  </si>
  <si>
    <t>TX105467</t>
  </si>
  <si>
    <t>AC8194</t>
  </si>
  <si>
    <t>XXXX-XXXX-6101</t>
  </si>
  <si>
    <t>TX105994</t>
  </si>
  <si>
    <t>TX105670</t>
  </si>
  <si>
    <t>XXXX-XXXX-XXXX-9653</t>
  </si>
  <si>
    <t>TX101205</t>
  </si>
  <si>
    <t>AC5596</t>
  </si>
  <si>
    <t>XXXX-XXXX-1503</t>
  </si>
  <si>
    <t>TX102332</t>
  </si>
  <si>
    <t>XXXX-XXXX-XXXX-9308</t>
  </si>
  <si>
    <t>TX102033</t>
  </si>
  <si>
    <t>AC2445</t>
  </si>
  <si>
    <t>Anta Josh</t>
  </si>
  <si>
    <t>XXXX-XXXX-7420</t>
  </si>
  <si>
    <t xml:space="preserve">anta.josh@yahoo.com </t>
  </si>
  <si>
    <t>TX105152</t>
  </si>
  <si>
    <t>AC9449</t>
  </si>
  <si>
    <t>AC1483</t>
  </si>
  <si>
    <t>TX100579</t>
  </si>
  <si>
    <t>AC9963</t>
  </si>
  <si>
    <t>raj.nair@examplecom</t>
  </si>
  <si>
    <t>TX101705</t>
  </si>
  <si>
    <t>AC5666</t>
  </si>
  <si>
    <t>AC3778</t>
  </si>
  <si>
    <t>TX105584</t>
  </si>
  <si>
    <t>XXXX-XXXX-2153</t>
  </si>
  <si>
    <t>TX103524</t>
  </si>
  <si>
    <t>AC4224</t>
  </si>
  <si>
    <t>XXXX-XXXX-9500</t>
  </si>
  <si>
    <t>XXXX-XXXX-7694</t>
  </si>
  <si>
    <t>TX102233</t>
  </si>
  <si>
    <t>AC6597</t>
  </si>
  <si>
    <t>XXXX-XXXX-4319</t>
  </si>
  <si>
    <t>TX101007</t>
  </si>
  <si>
    <t>XXXX-XXXX-6296</t>
  </si>
  <si>
    <t>TX103982</t>
  </si>
  <si>
    <t>AC7750</t>
  </si>
  <si>
    <t>XXXX-XXXX-5066</t>
  </si>
  <si>
    <t>TX101475</t>
  </si>
  <si>
    <t>AC5531</t>
  </si>
  <si>
    <t>TX103926</t>
  </si>
  <si>
    <t>AC9464</t>
  </si>
  <si>
    <t>Rahl Chopra</t>
  </si>
  <si>
    <t>rahl.chopra@gmail.com</t>
  </si>
  <si>
    <t>TX100425</t>
  </si>
  <si>
    <t>AC5794</t>
  </si>
  <si>
    <t>XXXX-XXXX-XXXX-3431</t>
  </si>
  <si>
    <t>TX103820</t>
  </si>
  <si>
    <t>XXXX-XXXX-XXXX-7595</t>
  </si>
  <si>
    <t>TX104429</t>
  </si>
  <si>
    <t>AC8840</t>
  </si>
  <si>
    <t>TX103512</t>
  </si>
  <si>
    <t>AC9232</t>
  </si>
  <si>
    <t>XXXX-XXXX-8288</t>
  </si>
  <si>
    <t>TX103141</t>
  </si>
  <si>
    <t>TX105120</t>
  </si>
  <si>
    <t>XXXX-XXXX-4523</t>
  </si>
  <si>
    <t>TX100113</t>
  </si>
  <si>
    <t>TX103913</t>
  </si>
  <si>
    <t>AC6476</t>
  </si>
  <si>
    <t>XXXX-XXXX-3818</t>
  </si>
  <si>
    <t>TX103456</t>
  </si>
  <si>
    <t>AC8941</t>
  </si>
  <si>
    <t>TX104979</t>
  </si>
  <si>
    <t>XXXX-XXXX-XXXX-3325</t>
  </si>
  <si>
    <t>TX105094</t>
  </si>
  <si>
    <t>AC3934</t>
  </si>
  <si>
    <t>XXXX-XXXX-XXXX-7559</t>
  </si>
  <si>
    <t>AC8233</t>
  </si>
  <si>
    <t>TX103873</t>
  </si>
  <si>
    <t>XXXX-XXXX-9108</t>
  </si>
  <si>
    <t>TX100970</t>
  </si>
  <si>
    <t>AC9945</t>
  </si>
  <si>
    <t>XXXX-XXXX-8131</t>
  </si>
  <si>
    <t>AC1038</t>
  </si>
  <si>
    <t>TX102696</t>
  </si>
  <si>
    <t>AC2617</t>
  </si>
  <si>
    <t>TX102437</t>
  </si>
  <si>
    <t>AC8929</t>
  </si>
  <si>
    <t>raj SINGH</t>
  </si>
  <si>
    <t>TX104668</t>
  </si>
  <si>
    <t>XXXX-XXXX-XXXX-5771</t>
  </si>
  <si>
    <t>TX104075</t>
  </si>
  <si>
    <t>AC1859</t>
  </si>
  <si>
    <t xml:space="preserve">amit.desai@example.com </t>
  </si>
  <si>
    <t>TX101139</t>
  </si>
  <si>
    <t>AC6049</t>
  </si>
  <si>
    <t>XXXX-XXXX-3748</t>
  </si>
  <si>
    <t>TX100348</t>
  </si>
  <si>
    <t>TX105632</t>
  </si>
  <si>
    <t>AC3438</t>
  </si>
  <si>
    <t>rohit.singh@gmail.com</t>
  </si>
  <si>
    <t>TX103382</t>
  </si>
  <si>
    <t>AC3976</t>
  </si>
  <si>
    <t>XXXX-XXXX-9378</t>
  </si>
  <si>
    <t>TX100585</t>
  </si>
  <si>
    <t>AC9503</t>
  </si>
  <si>
    <t>XXXX-XXXX-XXXX-4105</t>
  </si>
  <si>
    <t>TX103936</t>
  </si>
  <si>
    <t>AC9366</t>
  </si>
  <si>
    <t>XXXX-XXXX-5086</t>
  </si>
  <si>
    <t>TX105902</t>
  </si>
  <si>
    <t>XXXX-XXXX-1811</t>
  </si>
  <si>
    <t>TX104907</t>
  </si>
  <si>
    <t>AC9152</t>
  </si>
  <si>
    <t>XXXX-XXXX-4378</t>
  </si>
  <si>
    <t>TX100489</t>
  </si>
  <si>
    <t>AC1129</t>
  </si>
  <si>
    <t>TX101838</t>
  </si>
  <si>
    <t>sana SINGH</t>
  </si>
  <si>
    <t>XXXX-XXXX-3371</t>
  </si>
  <si>
    <t>TX101891</t>
  </si>
  <si>
    <t>AC3791</t>
  </si>
  <si>
    <t>XXXX-XXXX-4135</t>
  </si>
  <si>
    <t>isha.singh@yahoocom</t>
  </si>
  <si>
    <t>TX105798</t>
  </si>
  <si>
    <t>AC8722</t>
  </si>
  <si>
    <t>karan.sharma@yahoocom</t>
  </si>
  <si>
    <t>TX101200</t>
  </si>
  <si>
    <t>AC8888</t>
  </si>
  <si>
    <t>XXXX-XXXX-4848</t>
  </si>
  <si>
    <t>TX102018</t>
  </si>
  <si>
    <t>TX105237</t>
  </si>
  <si>
    <t>AC1745</t>
  </si>
  <si>
    <t>XXXX-XXXX-XXXX-7811</t>
  </si>
  <si>
    <t>TX105817</t>
  </si>
  <si>
    <t>AC7455</t>
  </si>
  <si>
    <t>Arjun Bse</t>
  </si>
  <si>
    <t>arjun.bse@example.com</t>
  </si>
  <si>
    <t>TX102187</t>
  </si>
  <si>
    <t>AC5254</t>
  </si>
  <si>
    <t>XXXX-XXXX-XXXX-7871</t>
  </si>
  <si>
    <t>TX102664</t>
  </si>
  <si>
    <t>AC8138</t>
  </si>
  <si>
    <t>TX101636</t>
  </si>
  <si>
    <t>AC6083</t>
  </si>
  <si>
    <t>XXXX-XXXX-XXXX-7835</t>
  </si>
  <si>
    <t>TX101411</t>
  </si>
  <si>
    <t>AC5830</t>
  </si>
  <si>
    <t>XXXX-XXXX-4620</t>
  </si>
  <si>
    <t>TX105910</t>
  </si>
  <si>
    <t>AC8255</t>
  </si>
  <si>
    <t>XXXX-XXXX-2602</t>
  </si>
  <si>
    <t>TX102286</t>
  </si>
  <si>
    <t>AC8441</t>
  </si>
  <si>
    <t>maya.das@hotmailcom</t>
  </si>
  <si>
    <t>TX103606</t>
  </si>
  <si>
    <t>AC5882</t>
  </si>
  <si>
    <t>TX104505</t>
  </si>
  <si>
    <t>AC8384</t>
  </si>
  <si>
    <t>XXXX-XXXX-XXXX-8219</t>
  </si>
  <si>
    <t>TX100925</t>
  </si>
  <si>
    <t>XXXX-XXXX-XXXX-7106</t>
  </si>
  <si>
    <t>AC9532</t>
  </si>
  <si>
    <t>TX105569</t>
  </si>
  <si>
    <t>XXXX-XXXX-9457</t>
  </si>
  <si>
    <t>TX100478</t>
  </si>
  <si>
    <t>XXXX-XXXX-7657</t>
  </si>
  <si>
    <t>AC1548</t>
  </si>
  <si>
    <t>TX103463</t>
  </si>
  <si>
    <t>XXXX-XXXX-4869</t>
  </si>
  <si>
    <t>TX105657</t>
  </si>
  <si>
    <t>XXXX-XXXX-XXXX-1259</t>
  </si>
  <si>
    <t>AC7310</t>
  </si>
  <si>
    <t>TX102899</t>
  </si>
  <si>
    <t>AC8924</t>
  </si>
  <si>
    <t>XXXX-XXXX-5610</t>
  </si>
  <si>
    <t>TX100153</t>
  </si>
  <si>
    <t>AC1301</t>
  </si>
  <si>
    <t>XXXX-XXXX-6970</t>
  </si>
  <si>
    <t>TX102433</t>
  </si>
  <si>
    <t>AC2396</t>
  </si>
  <si>
    <t>TX102514</t>
  </si>
  <si>
    <t>AC2501</t>
  </si>
  <si>
    <t>XXXX-XXXX-7343</t>
  </si>
  <si>
    <t>TX101486</t>
  </si>
  <si>
    <t>XXXX-XXXX-XXXX-1010</t>
  </si>
  <si>
    <t>TX101737</t>
  </si>
  <si>
    <t>AC9816</t>
  </si>
  <si>
    <t>XXXX-XXXX-6340</t>
  </si>
  <si>
    <t>TX102980</t>
  </si>
  <si>
    <t>AC6460</t>
  </si>
  <si>
    <t>XXXX-XXXX-XXXX-8584</t>
  </si>
  <si>
    <t>TX105755</t>
  </si>
  <si>
    <t>XXXX-XXXX-XXXX-7433</t>
  </si>
  <si>
    <t>TX105721</t>
  </si>
  <si>
    <t>XXXX-XXXX-8670</t>
  </si>
  <si>
    <t>TX100583</t>
  </si>
  <si>
    <t>AC9985</t>
  </si>
  <si>
    <t>TX105797</t>
  </si>
  <si>
    <t>AC1487</t>
  </si>
  <si>
    <t>XXXX-XXXX-8620</t>
  </si>
  <si>
    <t>TX103012</t>
  </si>
  <si>
    <t>AC8867</t>
  </si>
  <si>
    <t>TX104666</t>
  </si>
  <si>
    <t>TX101049</t>
  </si>
  <si>
    <t>XXXX-XXXX-3507</t>
  </si>
  <si>
    <t>TX102256</t>
  </si>
  <si>
    <t>AC5836</t>
  </si>
  <si>
    <t>XXXX-XXXX-1826</t>
  </si>
  <si>
    <t>TX101501</t>
  </si>
  <si>
    <t>AC9135</t>
  </si>
  <si>
    <t>XXXX-XXXX-3967</t>
  </si>
  <si>
    <t>TX101053</t>
  </si>
  <si>
    <t>AC9668</t>
  </si>
  <si>
    <t>XXXX-XXXX-1094</t>
  </si>
  <si>
    <t>TX100335</t>
  </si>
  <si>
    <t>TX103662</t>
  </si>
  <si>
    <t>XXXX-XXXX-5436</t>
  </si>
  <si>
    <t>TX100088</t>
  </si>
  <si>
    <t>AC6089</t>
  </si>
  <si>
    <t>XXXX-XXXX-XXXX-9096</t>
  </si>
  <si>
    <t>TX100874</t>
  </si>
  <si>
    <t>AC9081</t>
  </si>
  <si>
    <t>TX103761</t>
  </si>
  <si>
    <t>AC2202</t>
  </si>
  <si>
    <t>XXXX-XXXX-9695</t>
  </si>
  <si>
    <t>TX104730</t>
  </si>
  <si>
    <t>XXXX-XXXX-1434</t>
  </si>
  <si>
    <t>TX105155</t>
  </si>
  <si>
    <t>AC2748</t>
  </si>
  <si>
    <t>TX105769</t>
  </si>
  <si>
    <t>TX102064</t>
  </si>
  <si>
    <t>AC2946</t>
  </si>
  <si>
    <t>XXXX-XXXX-1218</t>
  </si>
  <si>
    <t>TX104793</t>
  </si>
  <si>
    <t>XXXX-XXXX-7971</t>
  </si>
  <si>
    <t>TX101266</t>
  </si>
  <si>
    <t>XXXX-XXXX-4813</t>
  </si>
  <si>
    <t>TX100303</t>
  </si>
  <si>
    <t>XXXX-XXXX-5441</t>
  </si>
  <si>
    <t>TX105113</t>
  </si>
  <si>
    <t>AC2492</t>
  </si>
  <si>
    <t>TX105915</t>
  </si>
  <si>
    <t>TX101904</t>
  </si>
  <si>
    <t>XXXX-XXXX-6281</t>
  </si>
  <si>
    <t>TX101201</t>
  </si>
  <si>
    <t>AC4751</t>
  </si>
  <si>
    <t>TX102362</t>
  </si>
  <si>
    <t>AC8677</t>
  </si>
  <si>
    <t>XXXX-XXXX-XXXX-3462</t>
  </si>
  <si>
    <t>TX102591</t>
  </si>
  <si>
    <t>AC3291</t>
  </si>
  <si>
    <t>XXXX-XXXX-1169</t>
  </si>
  <si>
    <t>rahul.roy@example.com</t>
  </si>
  <si>
    <t>TX101446</t>
  </si>
  <si>
    <t>XXXX-XXXX-2086</t>
  </si>
  <si>
    <t>TX101563</t>
  </si>
  <si>
    <t>AC8345</t>
  </si>
  <si>
    <t>vikram.singh@hotmail.com</t>
  </si>
  <si>
    <t>TX105811</t>
  </si>
  <si>
    <t>XXXX-XXXX-XXXX-7663</t>
  </si>
  <si>
    <t>TX105504</t>
  </si>
  <si>
    <t>AC1543</t>
  </si>
  <si>
    <t>TX102611</t>
  </si>
  <si>
    <t>AC5133</t>
  </si>
  <si>
    <t>XXXX-XXXX-7608</t>
  </si>
  <si>
    <t>TX103124</t>
  </si>
  <si>
    <t>XXXX-XXXX-XXXX-1796</t>
  </si>
  <si>
    <t>TX104940</t>
  </si>
  <si>
    <t>AC8408</t>
  </si>
  <si>
    <t>XXXX-XXXX-3308</t>
  </si>
  <si>
    <t>TX101026</t>
  </si>
  <si>
    <t>AC1255</t>
  </si>
  <si>
    <t>XXXX-XXXX-7874</t>
  </si>
  <si>
    <t>TX103163</t>
  </si>
  <si>
    <t>AC1325</t>
  </si>
  <si>
    <t>XXXX-XXXX-5547</t>
  </si>
  <si>
    <t>TX103072</t>
  </si>
  <si>
    <t>TX101540</t>
  </si>
  <si>
    <t>AC7769</t>
  </si>
  <si>
    <t>XXXX-XXXX-5816</t>
  </si>
  <si>
    <t>TX102649</t>
  </si>
  <si>
    <t>TX101639</t>
  </si>
  <si>
    <t>XXXX-XXXX-XXXX-8405</t>
  </si>
  <si>
    <t>anita.mehta@gmail.com</t>
  </si>
  <si>
    <t>TX100322</t>
  </si>
  <si>
    <t>TX102977</t>
  </si>
  <si>
    <t>XXXX-XXXX-XXXX-1159</t>
  </si>
  <si>
    <t>TX102723</t>
  </si>
  <si>
    <t>XXXX-XXXX-4450</t>
  </si>
  <si>
    <t>TX101014</t>
  </si>
  <si>
    <t>XXXX-XXXX-XXXX-1506</t>
  </si>
  <si>
    <t>TX104406</t>
  </si>
  <si>
    <t>asha SHARMA</t>
  </si>
  <si>
    <t>TX105131</t>
  </si>
  <si>
    <t>XXXX-XXXX-6339</t>
  </si>
  <si>
    <t>TX103875</t>
  </si>
  <si>
    <t>dev IYER</t>
  </si>
  <si>
    <t>XXXX-XXXX-5846</t>
  </si>
  <si>
    <t>TX102274</t>
  </si>
  <si>
    <t>AC5926</t>
  </si>
  <si>
    <t>ritu.gupta@yahoocom</t>
  </si>
  <si>
    <t>TX103007</t>
  </si>
  <si>
    <t>XXXX-XXXX-9901</t>
  </si>
  <si>
    <t>TX101562</t>
  </si>
  <si>
    <t>XXXX-XXXX-XXXX-3796</t>
  </si>
  <si>
    <t>TX105840</t>
  </si>
  <si>
    <t>AC6706</t>
  </si>
  <si>
    <t>TX100944</t>
  </si>
  <si>
    <t>AC3471</t>
  </si>
  <si>
    <t>XXXX-XXXX-9025</t>
  </si>
  <si>
    <t>TX100337</t>
  </si>
  <si>
    <t>XXXX-XXXX-3856</t>
  </si>
  <si>
    <t>TX102151</t>
  </si>
  <si>
    <t>XXXX-XXXX-5499</t>
  </si>
  <si>
    <t>TX102824</t>
  </si>
  <si>
    <t>suresh PATEL</t>
  </si>
  <si>
    <t>XXXX-XXXX-XXXX-6901</t>
  </si>
  <si>
    <t>TX102275</t>
  </si>
  <si>
    <t>AC7258</t>
  </si>
  <si>
    <t>TX104308</t>
  </si>
  <si>
    <t>AC2240</t>
  </si>
  <si>
    <t>XXXX-XXXX-9774</t>
  </si>
  <si>
    <t>TX103270</t>
  </si>
  <si>
    <t>TX105012</t>
  </si>
  <si>
    <t>TX104910</t>
  </si>
  <si>
    <t>AC6902</t>
  </si>
  <si>
    <t>XXXX-XXXX-XXXX-2225</t>
  </si>
  <si>
    <t>TX100645</t>
  </si>
  <si>
    <t>AC8580</t>
  </si>
  <si>
    <t>XXXX-XXXX-XXXX-9714</t>
  </si>
  <si>
    <t>TX103088</t>
  </si>
  <si>
    <t>TX101019</t>
  </si>
  <si>
    <t>XXXX-XXXX-5522</t>
  </si>
  <si>
    <t>TX101970</t>
  </si>
  <si>
    <t>AC4502</t>
  </si>
  <si>
    <t>XXXX-XXXX-7248</t>
  </si>
  <si>
    <t>TX104427</t>
  </si>
  <si>
    <t>AC8763</t>
  </si>
  <si>
    <t>XXXX-XXXX-6365</t>
  </si>
  <si>
    <t xml:space="preserve">maya.reddy@hotmail.com </t>
  </si>
  <si>
    <t>TX103232</t>
  </si>
  <si>
    <t>XXXX-XXXX-XXXX-8640</t>
  </si>
  <si>
    <t>TX102488</t>
  </si>
  <si>
    <t>XXXX-XXXX-XXXX-5705</t>
  </si>
  <si>
    <t>TX103569</t>
  </si>
  <si>
    <t>AC6773</t>
  </si>
  <si>
    <t>TX104656</t>
  </si>
  <si>
    <t>AC4234</t>
  </si>
  <si>
    <t>XXXX-XXXX-5136</t>
  </si>
  <si>
    <t>TX100269</t>
  </si>
  <si>
    <t>XXXX-XXXX-1227</t>
  </si>
  <si>
    <t>TX102912</t>
  </si>
  <si>
    <t>XXXX-XXXX-4585</t>
  </si>
  <si>
    <t>TX103107</t>
  </si>
  <si>
    <t>TX105028</t>
  </si>
  <si>
    <t>AC3220</t>
  </si>
  <si>
    <t>XXXX-XXXX-7074</t>
  </si>
  <si>
    <t>TX102524</t>
  </si>
  <si>
    <t>AC7694</t>
  </si>
  <si>
    <t>TX105976</t>
  </si>
  <si>
    <t>TX102758</t>
  </si>
  <si>
    <t>XXXX-XXXX-5439</t>
  </si>
  <si>
    <t>XXXX-XXXX-2865</t>
  </si>
  <si>
    <t>TX104923</t>
  </si>
  <si>
    <t>TX102044</t>
  </si>
  <si>
    <t>AC5414</t>
  </si>
  <si>
    <t>XXXX-XXXX-4473</t>
  </si>
  <si>
    <t>TX101865</t>
  </si>
  <si>
    <t>XXXX-XXXX-XXXX-7362</t>
  </si>
  <si>
    <t>TX103195</t>
  </si>
  <si>
    <t>AC6030</t>
  </si>
  <si>
    <t>TX101248</t>
  </si>
  <si>
    <t>AC9327</t>
  </si>
  <si>
    <t>TX105437</t>
  </si>
  <si>
    <t>AC3530</t>
  </si>
  <si>
    <t>XXXX-XXXX-5954</t>
  </si>
  <si>
    <t>TX100257</t>
  </si>
  <si>
    <t>AC9102</t>
  </si>
  <si>
    <t>uma.desai@gmailcom</t>
  </si>
  <si>
    <t>TX105582</t>
  </si>
  <si>
    <t>maya.patelexample.com</t>
  </si>
  <si>
    <t>TX101176</t>
  </si>
  <si>
    <t>Cashback Credited</t>
  </si>
  <si>
    <t>Repeat Purchase</t>
  </si>
  <si>
    <t>Chargeback Requested</t>
  </si>
  <si>
    <t>Suspected Fraud</t>
  </si>
  <si>
    <t>Promo Applied</t>
  </si>
  <si>
    <t>Monthly Subscription</t>
  </si>
  <si>
    <t>Manual Adjustment</t>
  </si>
  <si>
    <t>Promo Applied -- Verify
Contact Support</t>
  </si>
  <si>
    <t>Manual Adjustment -- Verify
Contact Support</t>
  </si>
  <si>
    <t xml:space="preserve"> -- Verify
Contact Support</t>
  </si>
  <si>
    <t>Monthly Subscription -- Verify
Contact Support</t>
  </si>
  <si>
    <t>Cashback Credited -- Verify
Contact Support</t>
  </si>
  <si>
    <t>Count</t>
  </si>
  <si>
    <t>Column1</t>
  </si>
  <si>
    <t>Sum</t>
  </si>
  <si>
    <t>Average</t>
  </si>
  <si>
    <t>Running Total</t>
  </si>
  <si>
    <t>Row Labels</t>
  </si>
  <si>
    <t>Sum of Amount</t>
  </si>
  <si>
    <t>(blank)</t>
  </si>
  <si>
    <t>Grand Total</t>
  </si>
  <si>
    <t>Sum of ExchangeRate</t>
  </si>
  <si>
    <t>Column Labels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</si>
  <si>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</si>
  <si>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</si>
  <si>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</si>
  <si>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</si>
  <si>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</si>
  <si>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</si>
  <si>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</si>
  <si>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</si>
  <si>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</si>
  <si>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</si>
  <si>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</si>
  <si>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INRR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</si>
</sst>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4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 project.xlsx]Sheet6!PivotTable9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ExchangeRate by City</a:t>
            </a:r>
          </a:p>
        </c:rich>
      </c:tx>
      <c:layout>
        <c:manualLayout>
          <c:xMode val="edge"/>
          <c:yMode val="edge"/>
          <c:x val="0.26436789151356077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Sheet6!$A$4:$A$14</c:f>
              <c:strCache>
                <c:ptCount val="11"/>
                <c:pt idx="0">
                  <c:v>Bengaluru</c:v>
                </c:pt>
                <c:pt idx="1">
                  <c:v>Chennai</c:v>
                </c:pt>
                <c:pt idx="2">
                  <c:v>Delhi</c:v>
                </c:pt>
                <c:pt idx="3">
                  <c:v>Gurugram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Noida</c:v>
                </c:pt>
                <c:pt idx="9">
                  <c:v>Pune</c:v>
                </c:pt>
                <c:pt idx="10">
                  <c:v>(blank)</c:v>
                </c:pt>
              </c:strCache>
            </c:strRef>
          </c:cat>
          <c:val>
            <c:numRef>
              <c:f>Sheet6!$B$4:$B$14</c:f>
              <c:numCache>
                <c:formatCode>General</c:formatCode>
                <c:ptCount val="11"/>
                <c:pt idx="0">
                  <c:v>2765.7892999999999</c:v>
                </c:pt>
                <c:pt idx="1">
                  <c:v>2960.6219999999998</c:v>
                </c:pt>
                <c:pt idx="2">
                  <c:v>2624.0257999999999</c:v>
                </c:pt>
                <c:pt idx="3">
                  <c:v>2948.478000000001</c:v>
                </c:pt>
                <c:pt idx="4">
                  <c:v>2052.7444000000005</c:v>
                </c:pt>
                <c:pt idx="5">
                  <c:v>3533.7853000000005</c:v>
                </c:pt>
                <c:pt idx="6">
                  <c:v>4782.2718999999997</c:v>
                </c:pt>
                <c:pt idx="7">
                  <c:v>2786.0789000000009</c:v>
                </c:pt>
                <c:pt idx="8">
                  <c:v>2290.6637999999998</c:v>
                </c:pt>
                <c:pt idx="9">
                  <c:v>2285.6156000000005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28-48DC-B16D-BD2D932E8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8858016"/>
        <c:axId val="1054187664"/>
      </c:barChart>
      <c:catAx>
        <c:axId val="156885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187664"/>
        <c:crosses val="autoZero"/>
        <c:auto val="1"/>
        <c:lblAlgn val="ctr"/>
        <c:lblOffset val="100"/>
        <c:noMultiLvlLbl val="0"/>
      </c:catAx>
      <c:valAx>
        <c:axId val="105418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858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409575</xdr:colOff>
      <xdr:row>1</xdr:row>
      <xdr:rowOff>9525</xdr:rowOff>
    </xdr:from>
    <xdr:to>
      <xdr:col>10</xdr:col>
      <xdr:colOff>104775</xdr:colOff>
      <xdr:row>15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D1D541-DF46-4896-A058-84693D1CF8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92.955645601854" createdVersion="6" refreshedVersion="6" minRefreshableVersion="3" recordCount="612" xr:uid="{D8A12165-E9EA-4397-8AC2-4F06C312A3B7}">
  <cacheSource type="worksheet">
    <worksheetSource name="Table1_2__3"/>
  </cacheSource>
  <cacheFields count="23">
    <cacheField name="TransactionID" numFmtId="0">
      <sharedItems/>
    </cacheField>
    <cacheField name="Date" numFmtId="14">
      <sharedItems containsSemiMixedTypes="0" containsNonDate="0" containsDate="1" containsString="0" minDate="2023-01-10T00:00:00" maxDate="2025-12-09T00:00:00"/>
    </cacheField>
    <cacheField name="AccountID" numFmtId="0">
      <sharedItems/>
    </cacheField>
    <cacheField name="AccountName" numFmtId="0">
      <sharedItems count="279">
        <s v="Dev Kumar"/>
        <s v="Asha Das"/>
        <s v="Karan Bose"/>
        <s v="Sana Kumar"/>
        <s v="Priya Singh"/>
        <s v="Dev Iyer"/>
        <s v="Maya Singh"/>
        <s v="Sam Khan"/>
        <s v="Asha Roy"/>
        <s v="Vikram Khan"/>
        <s v="Dev Chopra"/>
        <s v="Dev Singh"/>
        <s v="Maya Gupta"/>
        <s v="Dev Bose"/>
        <s v="Amit Chopra"/>
        <s v="Rahul Mehta"/>
        <s v="Uma Kumar"/>
        <s v="Lina Joshi"/>
        <s v="Raj Patel"/>
        <s v="Uma Mehta"/>
        <s v="Ritu Kumar"/>
        <s v="Vikram Das"/>
        <s v="Anita Iyer"/>
        <s v="Vikram Reddy"/>
        <s v="Asha Desai"/>
        <s v="Rohit Chopra"/>
        <s v="Amit Reddy"/>
        <s v="Amit Gupta"/>
        <s v="Rohit Reddy"/>
        <s v="Rohit Mehta"/>
        <s v="Sana Sharma"/>
        <s v="Ritu Iyer"/>
        <s v="Sana Joshi"/>
        <s v="Maya Desai"/>
        <s v="Rohit Kumar"/>
        <s v="Arjun Iyer"/>
        <s v="Priya Chopra"/>
        <s v="Sana Roy"/>
        <s v="Asha Gupta"/>
        <s v="isha ROY"/>
        <s v="Isha Desai"/>
        <s v="Dv Kumar"/>
        <s v="Sam Mehta"/>
        <s v="Arjun Roy"/>
        <s v="Raj Singh"/>
        <s v="amit IYER"/>
        <s v="Karan Sharma"/>
        <s v="Lina Khan"/>
        <s v="Neha Roy"/>
        <s v="Ritu Khan"/>
        <s v="Priya Patel"/>
        <s v="Isha Singh"/>
        <s v="Raj Roy"/>
        <s v="Amit Roy"/>
        <s v="Priya Das"/>
        <s v="amit MEHTA"/>
        <s v="Dev Khan"/>
        <s v="Sana Patel"/>
        <s v="Karan Khan"/>
        <s v="Anita Singh"/>
        <s v="Ritu Singh"/>
        <s v="Rohit Roy"/>
        <s v="Isha Patel"/>
        <s v="Uma Khan"/>
        <s v="ritu SHARMA"/>
        <s v="Karan Joshi"/>
        <s v="Isha Reddy"/>
        <s v="Rohit Khan"/>
        <s v="Lina Mehta"/>
        <s v="Raj Gupta"/>
        <s v="Amit Das"/>
        <s v="Isha Mehta"/>
        <s v="Neha Nair"/>
        <s v="Anita Khan"/>
        <s v="Neha Reddy"/>
        <s v="Suresh Reddy"/>
        <s v="Arjun Sharma"/>
        <s v="Priya Iyer"/>
        <s v="Lina Reddy"/>
        <s v="Lina Patel"/>
        <s v="Rahul Chopra"/>
        <s v="Neha Das"/>
        <s v="Sam Gupta"/>
        <s v="Lina Chopra"/>
        <s v="Nha Mhta"/>
        <s v="Suresh Mehta"/>
        <s v="Rohit Patel"/>
        <s v="Anita Gupta"/>
        <s v="Sana Das"/>
        <s v="Priya Sharma"/>
        <s v="Raj Iyer"/>
        <s v="Amit Desai"/>
        <s v="Ritu Gupta"/>
        <s v="Sam Reddy"/>
        <s v="Suresh Nair"/>
        <s v="Rahl Singh"/>
        <s v="Arjun Nair"/>
        <s v="Vikram Bose"/>
        <s v="Asha Mehta"/>
        <s v="Lin Nir"/>
        <s v="Arjun Khan"/>
        <s v="Isha Bose"/>
        <s v="Ritu Bose"/>
        <s v="Amit Joshi"/>
        <s v="Sana Desai"/>
        <s v="Raj Desai"/>
        <s v="Arjun Desai"/>
        <s v="Isha Joshi"/>
        <s v="Uma Nair"/>
        <s v="Uma Das"/>
        <s v="Sam Desai"/>
        <s v="Rahul Desai"/>
        <s v="Neha Chopra"/>
        <s v="Sana Reddy"/>
        <s v="Dev Sharma"/>
        <s v="Sana Gupta"/>
        <s v="Priya Joshi"/>
        <s v="Dev Gupta"/>
        <s v="Isha Khan"/>
        <s v="Neha Bose"/>
        <s v="Neha Desai"/>
        <s v="Ritu Reddy"/>
        <s v="Raj Das"/>
        <s v="Raj Khan"/>
        <s v="Dev Reddy"/>
        <s v="Lina Gupta"/>
        <s v="Dev Joshi"/>
        <s v="Sam Das"/>
        <s v="Vikram Roy"/>
        <s v="Suresh Kumar"/>
        <s v="Vikram Iyer"/>
        <s v="Karan Roy"/>
        <s v="Neha Iyer"/>
        <s v="Ritu Desai"/>
        <s v="Lina Sharma"/>
        <s v="Priya Mehta"/>
        <s v="Ritu Das"/>
        <s v="Isha Iyer"/>
        <s v="Uma Gupta"/>
        <s v="Uma Patel"/>
        <s v="Neha Sharma"/>
        <s v="Dev Das"/>
        <s v="Lina Nair"/>
        <s v="My Ptel"/>
        <s v="Asha Patel"/>
        <s v="Ritu Mehta"/>
        <s v="Lin Gupt"/>
        <s v="Anita Patel"/>
        <s v="Karan Das"/>
        <s v="Priy Khn"/>
        <s v="Rahul Nair"/>
        <s v="Raj Reddy"/>
        <s v="Anita Desai"/>
        <s v="Vikram Patel"/>
        <s v="Isha Das"/>
        <s v="Raj Kumar"/>
        <s v="Maya Khan"/>
        <s v="Vikram Chopra"/>
        <s v="Sam Joshi"/>
        <s v="Suresh Singh"/>
        <s v="Arjun Chopra"/>
        <s v="Uma Joshi"/>
        <s v="Rahul Das"/>
        <s v="Maya Mehta"/>
        <s v="Raj Chopra"/>
        <s v="Anita Das"/>
        <s v="Suresh Bose"/>
        <s v="Asha Kumar"/>
        <s v="Ritu Joshi"/>
        <s v="Uma Iyer"/>
        <s v="Rahul Bose"/>
        <s v="Sana Khan"/>
        <s v="Priya Roy"/>
        <s v="Rohit Nair"/>
        <s v="Maya Roy"/>
        <s v="Anita Chopra"/>
        <s v="Maya Kumar"/>
        <s v="Rohit Singh"/>
        <s v="Lina Desai"/>
        <s v="Maya Bose"/>
        <s v="Amit Kumar"/>
        <s v="Anita Reddy"/>
        <s v="Vikram Singh"/>
        <s v="Ritu Nair"/>
        <s v="Arjun Das"/>
        <s v="Sam Sharma"/>
        <s v="Arjun Singh"/>
        <s v="Neha Patel"/>
        <s v="Sana Nair"/>
        <s v="Raj Bose"/>
        <s v="Rahul Reddy"/>
        <s v="Suresh Khan"/>
        <s v="Sana Chopra"/>
        <s v="Vikrm Iyer"/>
        <s v="Asha Khan"/>
        <s v="Arjun Reddy"/>
        <s v="Lina Roy"/>
        <s v="Maya Patel"/>
        <s v="Rohit Sharma"/>
        <s v="Sam Singh"/>
        <s v="Priya Gupta"/>
        <s v="Asha Singh"/>
        <s v="Rahul Roy"/>
        <s v="Uma Roy"/>
        <s v="Maya Iyer"/>
        <s v="Sam Bose"/>
        <s v="Ritu Chopra"/>
        <s v="Asha Chopra"/>
        <s v="Vikram Gupta"/>
        <s v="Uma Bose"/>
        <s v="Sam Patel"/>
        <s v="Dv Nair"/>
        <s v="Raj Joshi"/>
        <s v="Priya Bse"/>
        <s v="Lina Kumar"/>
        <s v="Rahul Singh"/>
        <s v="Arjun Mehta"/>
        <s v="Rohit Gupta"/>
        <s v="Ritu Roy"/>
        <s v="Karan Singh"/>
        <s v="Maya Nair"/>
        <s v="Karan Mehta"/>
        <s v="Rohit Iyer"/>
        <s v="Karan Chopra"/>
        <s v="Raj Sharma"/>
        <s v="Karan Nair"/>
        <s v="Arjun Gupta"/>
        <s v="Suresh Iyer"/>
        <s v="Karan Patel"/>
        <s v="Sam Nair"/>
        <s v="Anita Nair"/>
        <s v="Suresh Gupta"/>
        <s v="Maya Reddy"/>
        <s v="Rahul Joshi"/>
        <s v="Asha Iyer"/>
        <s v="Anita Mehta"/>
        <s v="Amit Patel"/>
        <s v="Maya Joshi"/>
        <s v="Arjun Joshi"/>
        <s v="Raj Mehta"/>
        <s v="Sana Bose"/>
        <s v="Maya Sharma"/>
        <s v="Vikram Dsai"/>
        <s v="Priya Bose"/>
        <s v="Karan Reddy"/>
        <s v="Asha Reddy"/>
        <s v="Priya Desai"/>
        <s v="Sam Roy"/>
        <s v="Anta Josh"/>
        <s v="Raj Nair"/>
        <s v="Suresh Roy"/>
        <s v="Rahl Chopra"/>
        <s v="Rohit Bose"/>
        <s v="Neha Joshi"/>
        <s v="Neha Khan"/>
        <s v="Vikram Joshi"/>
        <s v="Asha Sharma"/>
        <s v="sana SINGH"/>
        <s v="Arjun Bse"/>
        <s v="Arjun Bose"/>
        <s v="Maya Das"/>
        <s v="Sana Mehta"/>
        <s v="Karan Desai"/>
        <s v="Suresh Joshi"/>
        <s v="Vikram Mehta"/>
        <s v="Asha Nair"/>
        <s v="Priya Kumar"/>
        <s v="Rahul Sharma"/>
        <s v="Isha Sharma"/>
        <s v="Rahul Kumar"/>
        <s v="Karan Gupta"/>
        <s v="Amit Bose"/>
        <s v="anita BOSE"/>
        <s v="Suresh Patel"/>
        <s v="Dev Patel"/>
        <s v="Anita Joshi"/>
        <s v="Rohit Joshi"/>
        <s v="Amit Nair"/>
        <s v="Uma Desai"/>
      </sharedItems>
    </cacheField>
    <cacheField name="TransactionType" numFmtId="0">
      <sharedItems containsBlank="1" count="4">
        <s v="Debit"/>
        <s v="Credit"/>
        <s v="Refund"/>
        <m/>
      </sharedItems>
    </cacheField>
    <cacheField name="Amount" numFmtId="0">
      <sharedItems containsSemiMixedTypes="0" containsString="0" containsNumber="1" minValue="-243.83" maxValue="1622.48"/>
    </cacheField>
    <cacheField name="Currency" numFmtId="0">
      <sharedItems/>
    </cacheField>
    <cacheField name="ExchangeRate" numFmtId="0">
      <sharedItems containsSemiMixedTypes="0" containsString="0" containsNumber="1" minValue="1" maxValue="109.95829999999999"/>
    </cacheField>
    <cacheField name="Balance" numFmtId="0">
      <sharedItems containsSemiMixedTypes="0" containsString="0" containsNumber="1" minValue="-2936206.1" maxValue="9557.92"/>
    </cacheField>
    <cacheField name="Merchant" numFmtId="0">
      <sharedItems/>
    </cacheField>
    <cacheField name="MerchantPhone" numFmtId="0">
      <sharedItems containsSemiMixedTypes="0" containsString="0" containsNumber="1" containsInteger="1" minValue="-9947318692" maxValue="9943420534"/>
    </cacheField>
    <cacheField name="MerchantEmail" numFmtId="0">
      <sharedItems/>
    </cacheField>
    <cacheField name="Category" numFmtId="0">
      <sharedItems/>
    </cacheField>
    <cacheField name="Subcategory" numFmtId="0">
      <sharedItems containsBlank="1"/>
    </cacheField>
    <cacheField name="Country" numFmtId="0">
      <sharedItems containsBlank="1"/>
    </cacheField>
    <cacheField name="City" numFmtId="0">
      <sharedItems containsBlank="1" count="11">
        <s v="Delhi"/>
        <s v="Jaipur"/>
        <s v="Noida"/>
        <s v="Pune"/>
        <s v="Gurugram"/>
        <s v="Bengaluru"/>
        <s v="Chennai"/>
        <s v="Hyderabad"/>
        <s v="Kolkata"/>
        <m/>
        <s v="Mumbai"/>
      </sharedItems>
    </cacheField>
    <cacheField name="PostalCode" numFmtId="0">
      <sharedItems containsSemiMixedTypes="0" containsString="0" containsNumber="1" containsInteger="1" minValue="137" maxValue="999815"/>
    </cacheField>
    <cacheField name="CardNumber" numFmtId="0">
      <sharedItems containsBlank="1" containsMixedTypes="1" containsNumber="1" containsInteger="1" minValue="4005040000000000" maxValue="4992230000000000"/>
    </cacheField>
    <cacheField name="Email" numFmtId="0">
      <sharedItems containsBlank="1"/>
    </cacheField>
    <cacheField name="Phone" numFmtId="0">
      <sharedItems containsSemiMixedTypes="0" containsString="0" containsNumber="1" containsInteger="1" minValue="-9981343320" maxValue="9886179492"/>
    </cacheField>
    <cacheField name="IsFraud" numFmtId="0">
      <sharedItems/>
    </cacheField>
    <cacheField name="Notes" numFmtId="0">
      <sharedItems/>
    </cacheField>
    <cacheField name="CustomerSince" numFmtId="14">
      <sharedItems containsNonDate="0" containsDate="1" containsString="0" containsBlank="1" minDate="1905-07-07T00:00:00" maxDate="2026-04-03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2">
  <r>
    <s v="TX101874"/>
    <d v="2024-08-10T00:00:00"/>
    <s v="AC8970"/>
    <x v="0"/>
    <x v="0"/>
    <n v="159.55000000000001"/>
    <s v="inr"/>
    <n v="1"/>
    <n v="-1162428.75"/>
    <s v="AutoZone"/>
    <n v="1856170186"/>
    <s v="autozone@biz.com"/>
    <s v="Entertainment"/>
    <s v="Concert"/>
    <s v="Australia"/>
    <x v="0"/>
    <n v="380312"/>
    <s v="XXXX-XXXX-5979"/>
    <s v="dev.kumar@yahoo.com"/>
    <n v="5882006077"/>
    <s v="No"/>
    <s v="Cashback Credited"/>
    <d v="2022-07-11T00:00:00"/>
  </r>
  <r>
    <s v="TX105440"/>
    <d v="2024-12-09T00:00:00"/>
    <s v="AC3521"/>
    <x v="1"/>
    <x v="0"/>
    <n v="16.079999999999998"/>
    <s v="USD"/>
    <n v="80.413300000000007"/>
    <n v="-2783810.24"/>
    <s v="ShopEasy"/>
    <n v="2414487847"/>
    <s v="shopeasy@biz.com"/>
    <s v="Groceries"/>
    <s v="Supermarket"/>
    <s v="UK"/>
    <x v="1"/>
    <n v="244894"/>
    <n v="4819280000000000"/>
    <s v="asha.das@gmail.com"/>
    <n v="2421026890"/>
    <s v="No"/>
    <s v="Repeat Purchase"/>
    <d v="1905-07-15T00:00:00"/>
  </r>
  <r>
    <s v="TX102732"/>
    <d v="2024-08-04T00:00:00"/>
    <s v="AC8986"/>
    <x v="2"/>
    <x v="1"/>
    <n v="65.069999999999993"/>
    <s v="GBP"/>
    <n v="108.1853"/>
    <n v="-1604589.22"/>
    <s v="Zomato"/>
    <n v="3427223556"/>
    <s v="zomato@biz.com"/>
    <s v="Automotive"/>
    <s v="Fuel"/>
    <s v="Canada"/>
    <x v="2"/>
    <n v="292"/>
    <s v="XXXX-XXXX-1048"/>
    <s v="karan.bose@gmail.com"/>
    <n v="8362382850"/>
    <s v="No"/>
    <s v="Repeat Purchase"/>
    <d v="2025-06-01T00:00:00"/>
  </r>
  <r>
    <s v="TX103893"/>
    <d v="2025-03-05T00:00:00"/>
    <s v="AC4141"/>
    <x v="3"/>
    <x v="0"/>
    <n v="3.35"/>
    <s v="inr"/>
    <n v="1"/>
    <n v="-2119765.9500000002"/>
    <s v="Paytm Mall"/>
    <n v="6495084910"/>
    <s v="paytmmall@biz.com"/>
    <s v="Electronics"/>
    <s v="Laptop"/>
    <s v="UAE"/>
    <x v="3"/>
    <n v="368236"/>
    <s v="XXXX-XXXX-XXXX-9148"/>
    <s v="sana.kumar@gmail.com"/>
    <n v="91534078"/>
    <s v="No"/>
    <s v="Chargeback Requested"/>
    <d v="2016-12-05T00:00:00"/>
  </r>
  <r>
    <s v="TX100183"/>
    <d v="2024-01-12T00:00:00"/>
    <s v="AC2061"/>
    <x v="4"/>
    <x v="0"/>
    <n v="59.08"/>
    <s v="USD"/>
    <n v="72.008700000000005"/>
    <n v="-160861.6"/>
    <s v="Starbucks"/>
    <n v="-4270275891"/>
    <s v="starbucks@biz.com"/>
    <s v="Electronics"/>
    <s v="Laptop"/>
    <s v="Canada"/>
    <x v="0"/>
    <n v="779639"/>
    <s v="XXXX-XXXX-2396"/>
    <s v="priya.singh@yahoocom"/>
    <n v="-6268886505"/>
    <s v="No"/>
    <s v="Suspected Fraud"/>
    <d v="1905-07-17T00:00:00"/>
  </r>
  <r>
    <s v="TX104603"/>
    <d v="2025-04-08T00:00:00"/>
    <s v="AC8468"/>
    <x v="5"/>
    <x v="1"/>
    <n v="159.82"/>
    <s v="USD"/>
    <n v="74.250500000000002"/>
    <n v="-2466130.77"/>
    <s v="LocalMart"/>
    <n v="7401571126"/>
    <s v="localmart@biz.com"/>
    <s v="Groceries"/>
    <s v="Supermarket"/>
    <s v="Canada"/>
    <x v="2"/>
    <n v="997488"/>
    <s v="XXXX-XXXX-XXXX-1466"/>
    <s v="dev.iyer@gmail.com"/>
    <n v="2549072389"/>
    <s v="No"/>
    <s v="Repeat Purchase"/>
    <d v="2020-05-01T00:00:00"/>
  </r>
  <r>
    <s v="TX101741"/>
    <d v="2024-08-07T00:00:00"/>
    <s v="AC9656"/>
    <x v="6"/>
    <x v="2"/>
    <n v="27.04"/>
    <s v="AED"/>
    <n v="19.565799999999999"/>
    <n v="-1143250.93"/>
    <s v="Paytm Mall"/>
    <n v="5491777509"/>
    <s v="paytmmall@biz.com"/>
    <s v="Dining"/>
    <s v="FastFood"/>
    <s v="Canada"/>
    <x v="2"/>
    <n v="997986"/>
    <s v="XXXX-XXXX-XXXX-9786"/>
    <s v="maya.singh@yahoo.com"/>
    <n v="7445818359"/>
    <s v="No"/>
    <s v="Chargeback Requested"/>
    <d v="2019-01-19T00:00:00"/>
  </r>
  <r>
    <s v="TX105025"/>
    <d v="2024-10-08T00:00:00"/>
    <s v="AC1619"/>
    <x v="7"/>
    <x v="2"/>
    <n v="7.53"/>
    <s v="inr"/>
    <n v="1"/>
    <n v="-2625259.39"/>
    <s v="Flipkart"/>
    <n v="926567951"/>
    <s v="flipkart@biz.com"/>
    <s v="Groceries"/>
    <s v="Supermarket"/>
    <s v="UAE"/>
    <x v="0"/>
    <n v="185591"/>
    <s v="XXXX-XXXX-XXXX-9256"/>
    <s v="sam.khan@gmail.com"/>
    <n v="3214380338"/>
    <s v="No"/>
    <s v="Repeat Purchase"/>
    <d v="2021-10-12T00:00:00"/>
  </r>
  <r>
    <s v="TX105191"/>
    <d v="2024-08-06T00:00:00"/>
    <s v="AC8838"/>
    <x v="8"/>
    <x v="0"/>
    <n v="31.51"/>
    <s v="inr"/>
    <n v="1"/>
    <n v="-2680025.7799999998"/>
    <s v="Amazon"/>
    <n v="7060587348"/>
    <s v="amazon@biz.com"/>
    <s v="Clothing"/>
    <s v="Women"/>
    <s v="UK"/>
    <x v="4"/>
    <n v="797517"/>
    <n v="4393170000000000"/>
    <s v="asha.roy@yahoo.com"/>
    <n v="9220254556"/>
    <s v="No"/>
    <s v="Promo Applied"/>
    <d v="2018-02-01T00:00:00"/>
  </r>
  <r>
    <s v="TX101765"/>
    <d v="2025-08-08T00:00:00"/>
    <s v="AC5866"/>
    <x v="9"/>
    <x v="1"/>
    <n v="12.04"/>
    <s v="USD"/>
    <n v="78.308499999999995"/>
    <n v="-1130088.71"/>
    <s v="Zomato"/>
    <n v="819714338"/>
    <s v="zomato@biz.com"/>
    <s v="Entertainment"/>
    <s v="Movies"/>
    <s v="USA"/>
    <x v="5"/>
    <n v="556317"/>
    <s v="XXXX-XXXX-6207"/>
    <s v="vikram.khan@yahoo.com"/>
    <n v="1125865267"/>
    <s v="No"/>
    <s v="Monthly Subscription"/>
    <d v="1905-07-17T00:00:00"/>
  </r>
  <r>
    <s v="TX100737"/>
    <d v="2025-04-08T00:00:00"/>
    <s v="AC1595"/>
    <x v="10"/>
    <x v="1"/>
    <n v="107.69"/>
    <s v="AED"/>
    <n v="18.686800000000002"/>
    <n v="-441532.25"/>
    <s v="ShopEasy"/>
    <n v="9480044944"/>
    <s v="shopeasy@biz.com"/>
    <s v="Utilities"/>
    <s v="Water"/>
    <s v="USA"/>
    <x v="6"/>
    <n v="793830"/>
    <s v="XXXX-XXXX-3763"/>
    <s v="dev.chopra@yahoo.com"/>
    <n v="8200993825"/>
    <s v="No"/>
    <s v="Chargeback Requested"/>
    <d v="2023-09-01T00:00:00"/>
  </r>
  <r>
    <s v="TX105550"/>
    <d v="2025-06-04T00:00:00"/>
    <s v="AC8647"/>
    <x v="11"/>
    <x v="1"/>
    <n v="10.31"/>
    <s v="AED"/>
    <n v="19.8323"/>
    <n v="-2867744.16"/>
    <s v="ElectroWorld"/>
    <n v="-2519914355"/>
    <s v="electroworld@biz.com"/>
    <s v="Dining"/>
    <s v="FastFood"/>
    <s v="UAE"/>
    <x v="7"/>
    <n v="697624"/>
    <s v="XXXX-XXXX-8661"/>
    <s v="dev.singh@hotmail.com"/>
    <n v="3794661117"/>
    <s v="No"/>
    <s v="Promo Applied"/>
    <d v="2020-04-01T00:00:00"/>
  </r>
  <r>
    <s v="TX105707"/>
    <d v="2024-06-06T00:00:00"/>
    <s v="AC7639"/>
    <x v="12"/>
    <x v="1"/>
    <n v="47.4"/>
    <s v="inr"/>
    <n v="1"/>
    <n v="-2901112.67"/>
    <s v="Swiggy"/>
    <n v="8489373402"/>
    <s v="swiggy@biz.com"/>
    <s v="Dining"/>
    <s v="Restaurant"/>
    <s v="UAE"/>
    <x v="8"/>
    <n v="273558"/>
    <n v="4954390000000000"/>
    <s v="maya.gupta@hotmail.com"/>
    <n v="8566341611"/>
    <s v="No"/>
    <s v="Chargeback Requested"/>
    <d v="1905-07-14T00:00:00"/>
  </r>
  <r>
    <s v="TX100732"/>
    <d v="2024-04-12T00:00:00"/>
    <s v="AC8625"/>
    <x v="13"/>
    <x v="0"/>
    <n v="54.05"/>
    <s v="USD"/>
    <n v="74.664000000000001"/>
    <n v="-441485.77"/>
    <s v="ElectroWorld"/>
    <n v="6585042040"/>
    <s v="electroworld@biz.com"/>
    <s v="Entertainment"/>
    <s v="Movies"/>
    <s v="UAE"/>
    <x v="8"/>
    <n v="945495"/>
    <s v="XXXX-XXXX-6868"/>
    <s v="dev.bose@gmail.com"/>
    <n v="6695319005"/>
    <s v="No"/>
    <s v="Cashback Credited"/>
    <d v="1905-07-13T00:00:00"/>
  </r>
  <r>
    <s v="TX101521"/>
    <d v="2024-02-01T00:00:00"/>
    <s v="AC4650"/>
    <x v="14"/>
    <x v="1"/>
    <n v="66.59"/>
    <s v="USD"/>
    <n v="82.418899999999994"/>
    <n v="-987576.75"/>
    <s v="Paytm Mall"/>
    <n v="1461824180"/>
    <s v="paytmmall@biz.com"/>
    <s v="Dining"/>
    <s v="Restaurant"/>
    <s v="India"/>
    <x v="8"/>
    <n v="527136"/>
    <s v="XXXX-XXXX-8135"/>
    <s v="amit.chopra@yahoo.com"/>
    <n v="4213079528"/>
    <s v="No"/>
    <s v="Repeat Purchase"/>
    <d v="2024-06-01T00:00:00"/>
  </r>
  <r>
    <s v="TX105537"/>
    <d v="2024-08-04T00:00:00"/>
    <s v="AC3940"/>
    <x v="15"/>
    <x v="2"/>
    <n v="21.66"/>
    <s v="USD"/>
    <n v="75.7654"/>
    <n v="-2867026.6"/>
    <s v="Zomato"/>
    <n v="4631003057"/>
    <s v="zomato@biz.com"/>
    <s v="Dining"/>
    <s v="Restaurant"/>
    <s v="Australia"/>
    <x v="3"/>
    <n v="967584"/>
    <s v="XXXX-XXXX-XXXX-1105"/>
    <s v="rahul.mehta@gmail.com"/>
    <n v="2035708245"/>
    <s v="No"/>
    <s v="Promo Applied"/>
    <d v="2017-06-19T00:00:00"/>
  </r>
  <r>
    <s v="TX100700"/>
    <d v="2024-12-02T00:00:00"/>
    <s v="AC2587"/>
    <x v="16"/>
    <x v="0"/>
    <n v="17.690000000000001"/>
    <s v="inr"/>
    <n v="1"/>
    <n v="-440726.51"/>
    <s v="Myntra"/>
    <n v="3672546618"/>
    <s v="myntra@biz.com"/>
    <s v="Electronics"/>
    <s v="Laptop"/>
    <s v="Canada"/>
    <x v="4"/>
    <n v="473052"/>
    <s v="XXXX-XXXX-XXXX-7566"/>
    <s v="uma.kumar@yahoo.com"/>
    <n v="3960987836"/>
    <s v="No"/>
    <s v="Manual Adjustment"/>
    <d v="2015-04-01T00:00:00"/>
  </r>
  <r>
    <s v="TX100121"/>
    <d v="2025-06-09T00:00:00"/>
    <s v="AC2994"/>
    <x v="17"/>
    <x v="0"/>
    <n v="11.12"/>
    <s v="inr"/>
    <n v="1"/>
    <n v="-145905.97"/>
    <s v="ShopEasy"/>
    <n v="6279424396"/>
    <s v="shopeasy@biz.com"/>
    <s v="Education"/>
    <s v="Books"/>
    <s v="UK"/>
    <x v="0"/>
    <n v="676348"/>
    <n v="4526530000000000"/>
    <s v="lina.joshi@yahoocom"/>
    <n v="3718348981"/>
    <s v="No"/>
    <s v="Chargeback Requested"/>
    <d v="2017-05-01T00:00:00"/>
  </r>
  <r>
    <s v="TX100807"/>
    <d v="2024-10-04T00:00:00"/>
    <s v="AC2670"/>
    <x v="18"/>
    <x v="1"/>
    <n v="18.64"/>
    <s v="inr"/>
    <n v="1"/>
    <n v="-447389.6"/>
    <s v="BigBasket"/>
    <n v="8325657962"/>
    <s v="bigbasket@biz.com"/>
    <s v="Education"/>
    <s v="Course"/>
    <s v="Canada"/>
    <x v="8"/>
    <n v="894870"/>
    <s v="XXXX-XXXX-3358"/>
    <s v="raj.patel@yahoo.com"/>
    <n v="-6654253102"/>
    <s v="No"/>
    <s v="Manual Adjustment"/>
    <d v="2026-03-07T00:00:00"/>
  </r>
  <r>
    <s v="TX102054"/>
    <d v="2025-01-08T00:00:00"/>
    <s v="AC2568"/>
    <x v="17"/>
    <x v="0"/>
    <n v="6.59"/>
    <s v="AED"/>
    <n v="19.222300000000001"/>
    <n v="-1198971.05"/>
    <s v="Reliance"/>
    <n v="4122112592"/>
    <s v="reliance@biz.com"/>
    <s v="Education"/>
    <s v="Books"/>
    <s v="UAE"/>
    <x v="7"/>
    <n v="930974"/>
    <n v="4632770000000000"/>
    <s v="lina.joshi@example.com"/>
    <n v="1023428551"/>
    <s v="No"/>
    <s v="Chargeback Requested"/>
    <d v="1905-07-12T00:00:00"/>
  </r>
  <r>
    <s v="TX104290"/>
    <d v="2024-02-03T00:00:00"/>
    <s v="AC4688"/>
    <x v="19"/>
    <x v="1"/>
    <n v="60.97"/>
    <s v="AED"/>
    <n v="21.896100000000001"/>
    <n v="-2308327.41"/>
    <s v="Starbucks"/>
    <n v="3544832538"/>
    <s v="starbucks@biz.com"/>
    <s v="Travel"/>
    <s v="Taxi"/>
    <s v="Canada"/>
    <x v="1"/>
    <n v="940351"/>
    <s v="XXXX-XXXX-XXXX-3267"/>
    <s v="uma.mehta@example.com"/>
    <n v="4085364100"/>
    <s v="No"/>
    <s v="Cashback Credited"/>
    <d v="2022-05-01T00:00:00"/>
  </r>
  <r>
    <s v="TX102810"/>
    <d v="2025-09-02T00:00:00"/>
    <s v="AC3741"/>
    <x v="20"/>
    <x v="0"/>
    <n v="28.79"/>
    <s v="inr"/>
    <n v="1"/>
    <n v="-1624756.67"/>
    <s v="Starbucks"/>
    <n v="7613839100"/>
    <s v="starbucks@biz.com"/>
    <s v="Entertainment"/>
    <s v="Concert"/>
    <s v="Australia"/>
    <x v="3"/>
    <n v="776360"/>
    <s v="XXXX-XXXX-1431"/>
    <s v="ritu.kumar@example.com"/>
    <n v="-1656949152"/>
    <s v="No"/>
    <s v="Monthly Subscription"/>
    <d v="2018-07-19T00:00:00"/>
  </r>
  <r>
    <s v="TX104828"/>
    <d v="2024-11-09T00:00:00"/>
    <s v="AC3110"/>
    <x v="21"/>
    <x v="1"/>
    <n v="100.3"/>
    <s v="GBP"/>
    <n v="92.5715"/>
    <n v="-2579829.9700000002"/>
    <s v="Swiggy"/>
    <n v="4648657834"/>
    <s v="swiggy@biz.com"/>
    <s v="Electronics"/>
    <s v="Laptop"/>
    <s v="Australia"/>
    <x v="8"/>
    <n v="830492"/>
    <s v="XXXX-XXXX-4885"/>
    <s v="vikram.das@yahoo.com"/>
    <n v="6679232630"/>
    <s v="No"/>
    <s v="Chargeback Requested"/>
    <d v="2025-08-03T00:00:00"/>
  </r>
  <r>
    <s v="TX100510"/>
    <d v="2025-09-07T00:00:00"/>
    <s v="AC6442"/>
    <x v="22"/>
    <x v="0"/>
    <n v="45.81"/>
    <s v="USD"/>
    <n v="79.007499999999993"/>
    <n v="-260514.94"/>
    <s v="Starbucks"/>
    <n v="1485413745"/>
    <s v="starbucks@biz.com"/>
    <s v="Automotive"/>
    <s v="Fuel"/>
    <s v="USA"/>
    <x v="6"/>
    <n v="326760"/>
    <s v="XXXX-XXXX-2862"/>
    <s v="anita.iyer@hotmail.com"/>
    <n v="5491777509"/>
    <s v="No"/>
    <s v="Chargeback Requested"/>
    <d v="2020-09-01T00:00:00"/>
  </r>
  <r>
    <s v="TX102219"/>
    <d v="2023-08-12T00:00:00"/>
    <s v="AC8103"/>
    <x v="23"/>
    <x v="1"/>
    <n v="24.62"/>
    <s v="inr"/>
    <n v="1"/>
    <n v="-1269625.44"/>
    <s v="Paytm Mall"/>
    <n v="3982669325"/>
    <s v="paytmmall@biz.com"/>
    <s v="Utilities"/>
    <s v="Electricity"/>
    <s v="UAE"/>
    <x v="3"/>
    <n v="372496"/>
    <s v="XXXX-XXXX-3310"/>
    <s v="vikram.reddy@yahoo.com"/>
    <n v="729232379"/>
    <s v="No"/>
    <s v="Chargeback Requested"/>
    <d v="2024-12-04T00:00:00"/>
  </r>
  <r>
    <s v="TX105421"/>
    <d v="2024-10-08T00:00:00"/>
    <s v="AC2713"/>
    <x v="24"/>
    <x v="0"/>
    <n v="7.94"/>
    <s v="USD"/>
    <n v="73.557000000000002"/>
    <n v="-2775599.25"/>
    <s v="Paytm Mall"/>
    <n v="198193266"/>
    <s v="paytmmall@biz.com"/>
    <s v="Travel"/>
    <s v="Taxi"/>
    <s v="Canada"/>
    <x v="1"/>
    <n v="701742"/>
    <s v="XXXX-XXXX-6286"/>
    <s v="asha.desai@yahoo.com"/>
    <n v="8562295943"/>
    <s v="No"/>
    <s v="Suspected Fraud"/>
    <d v="2026-02-01T00:00:00"/>
  </r>
  <r>
    <s v="TX102267"/>
    <d v="2025-11-02T00:00:00"/>
    <s v="AC4852"/>
    <x v="25"/>
    <x v="0"/>
    <n v="48.6"/>
    <s v="USD"/>
    <n v="74.980599999999995"/>
    <n v="-1270951.8799999999"/>
    <s v="LocalMart"/>
    <n v="9185403189"/>
    <s v="localmart@biz.com"/>
    <s v="Dining"/>
    <s v="FastFood"/>
    <s v="UAE"/>
    <x v="8"/>
    <n v="804162"/>
    <s v="XXXX-XXXX-XXXX-3171"/>
    <s v="rohit.chopra@hotmail.com"/>
    <n v="1720720357"/>
    <s v="No"/>
    <s v="Chargeback Requested"/>
    <d v="1905-07-16T00:00:00"/>
  </r>
  <r>
    <s v="TX100359"/>
    <d v="2024-02-07T00:00:00"/>
    <s v="AC9818"/>
    <x v="26"/>
    <x v="1"/>
    <n v="12.27"/>
    <s v="USD"/>
    <n v="74.163600000000002"/>
    <n v="-189062.22"/>
    <s v="Flipkart"/>
    <n v="-8692004515"/>
    <s v="flipkart@biz.com"/>
    <s v="Travel"/>
    <s v="Hotel"/>
    <s v="Australia"/>
    <x v="6"/>
    <n v="240487"/>
    <s v="XXXX-XXXX-5381"/>
    <s v="amit.reddy@hotmail.com"/>
    <n v="8537215180"/>
    <s v="No"/>
    <s v="Repeat Purchase"/>
    <d v="1905-07-16T00:00:00"/>
  </r>
  <r>
    <s v="TX103250"/>
    <d v="2025-09-02T00:00:00"/>
    <s v="AC1033"/>
    <x v="27"/>
    <x v="1"/>
    <n v="68.3"/>
    <s v="USD"/>
    <n v="78.158699999999996"/>
    <n v="-1714944.91"/>
    <s v="Paytm Mall"/>
    <n v="9160009914"/>
    <s v="paytmmall@biz.com"/>
    <s v="Health"/>
    <s v="Clinic"/>
    <s v="Canada"/>
    <x v="1"/>
    <n v="201839"/>
    <s v="XXXX-XXXX-XXXX-1151"/>
    <s v="amit.gupta@gmail.com"/>
    <n v="4831074275"/>
    <s v="No"/>
    <s v="Suspected Fraud"/>
    <d v="1905-07-09T00:00:00"/>
  </r>
  <r>
    <s v="TX104957"/>
    <d v="2024-07-09T00:00:00"/>
    <s v="AC2272"/>
    <x v="28"/>
    <x v="0"/>
    <n v="118.17"/>
    <s v="GBP"/>
    <n v="100.2877"/>
    <n v="-2593163.0699999998"/>
    <s v="Reliance"/>
    <n v="692479985"/>
    <s v="reliance@biz.com"/>
    <s v="Clothing"/>
    <s v="Women"/>
    <s v="UK"/>
    <x v="4"/>
    <n v="307009"/>
    <s v="XXXX-XXXX-2887"/>
    <s v="rohit.reddy@example.com"/>
    <n v="4674364331"/>
    <s v="No"/>
    <s v="Monthly Subscription"/>
    <d v="1905-07-14T00:00:00"/>
  </r>
  <r>
    <s v="TX102523"/>
    <d v="2025-06-04T00:00:00"/>
    <s v="AC6257"/>
    <x v="29"/>
    <x v="0"/>
    <n v="22.73"/>
    <s v="USD"/>
    <n v="80.423599999999993"/>
    <n v="-1527270.05"/>
    <s v="AutoZone"/>
    <n v="979283937"/>
    <s v="autozone@biz.com"/>
    <s v="Dining"/>
    <s v="Restaurant"/>
    <s v="UK"/>
    <x v="4"/>
    <n v="328206"/>
    <n v="4121080000000000"/>
    <s v="rohit.mehta@example.com"/>
    <n v="1215429369"/>
    <s v="No"/>
    <s v="Repeat Purchase"/>
    <d v="1905-07-15T00:00:00"/>
  </r>
  <r>
    <s v="TX104997"/>
    <d v="2025-12-06T00:00:00"/>
    <s v="AC8067"/>
    <x v="30"/>
    <x v="2"/>
    <n v="1387.82"/>
    <s v="inr"/>
    <n v="1"/>
    <n v="-2624337.1"/>
    <s v="Walmart"/>
    <n v="2909103842"/>
    <s v="walmart@biz.com"/>
    <s v="Automotive"/>
    <s v="Repair"/>
    <s v="Australia"/>
    <x v="4"/>
    <n v="864053"/>
    <s v="XXXX-XXXX-1847"/>
    <s v="sana.sharma@example.com"/>
    <n v="1164966567"/>
    <s v="No"/>
    <s v="Cashback Credited"/>
    <d v="2026-04-02T00:00:00"/>
  </r>
  <r>
    <s v="TX101682"/>
    <d v="2024-05-11T00:00:00"/>
    <s v="AC1500"/>
    <x v="29"/>
    <x v="0"/>
    <n v="11.2"/>
    <s v="USD"/>
    <n v="80.054599999999994"/>
    <n v="-1077956.49"/>
    <s v="Starbucks"/>
    <n v="3891327919"/>
    <s v="starbucks@biz.com"/>
    <s v="Entertainment"/>
    <s v="Concert"/>
    <s v="Australia"/>
    <x v="0"/>
    <n v="261423"/>
    <s v="XXXX-XXXX-1285"/>
    <s v="rohit.mehta@example.com"/>
    <n v="574762924"/>
    <s v="No"/>
    <s v="Suspected Fraud"/>
    <d v="2024-11-01T00:00:00"/>
  </r>
  <r>
    <s v="TX102622"/>
    <d v="2025-05-04T00:00:00"/>
    <s v="AC6424"/>
    <x v="31"/>
    <x v="0"/>
    <n v="36.619999999999997"/>
    <s v="GBP"/>
    <n v="90.451400000000007"/>
    <n v="-1559861.61"/>
    <s v="Flipkart"/>
    <n v="6385239146"/>
    <s v="flipkart@biz.com"/>
    <s v="Automotive"/>
    <s v="Repair"/>
    <s v="Australia"/>
    <x v="5"/>
    <n v="376135"/>
    <s v="XXXX-XXXX-XXXX-2774"/>
    <s v="ritu.iyer@gmail.com"/>
    <n v="1481590479"/>
    <s v="No"/>
    <s v="Manual Adjustment"/>
    <d v="2023-07-06T00:00:00"/>
  </r>
  <r>
    <s v="TX104392"/>
    <d v="2024-12-03T00:00:00"/>
    <s v="AC2231"/>
    <x v="32"/>
    <x v="0"/>
    <n v="48.87"/>
    <s v="USD"/>
    <n v="72.993499999999997"/>
    <n v="-2428209.02"/>
    <s v="Paytm Mall"/>
    <n v="-6485152370"/>
    <s v="paytmmall@biz.com"/>
    <s v="Dining"/>
    <s v="Cafe"/>
    <s v="Australia"/>
    <x v="2"/>
    <n v="564250"/>
    <s v="XXXX-XXXX-4632"/>
    <m/>
    <n v="3540921788"/>
    <s v="No"/>
    <s v="Chargeback Requested"/>
    <d v="2015-10-08T00:00:00"/>
  </r>
  <r>
    <s v="TX104422"/>
    <d v="2024-02-01T00:00:00"/>
    <s v="AC7989"/>
    <x v="0"/>
    <x v="3"/>
    <n v="149.38"/>
    <s v="INRr"/>
    <n v="1"/>
    <n v="-2452431.7000000002"/>
    <s v="Myntra"/>
    <n v="2051583188"/>
    <s v="myntra@biz.com"/>
    <s v="Entertainment"/>
    <m/>
    <m/>
    <x v="9"/>
    <n v="781028"/>
    <s v="XXXX-XXXX-3026"/>
    <m/>
    <n v="4857338525"/>
    <s v="No"/>
    <s v="Cashback Credited"/>
    <m/>
  </r>
  <r>
    <s v="TX101402"/>
    <d v="2023-03-12T00:00:00"/>
    <s v="AC7319"/>
    <x v="33"/>
    <x v="1"/>
    <n v="137.38999999999999"/>
    <s v="USD"/>
    <n v="77.099000000000004"/>
    <n v="-975066.42"/>
    <s v="BigBasket"/>
    <n v="2028620041"/>
    <s v="bigbasket@biz.com"/>
    <s v="Entertainment"/>
    <s v="Streaming"/>
    <s v="UK"/>
    <x v="10"/>
    <n v="811162"/>
    <s v="XXXX-XXXX-7742"/>
    <s v="maya.desai@example.com"/>
    <n v="5078366796"/>
    <s v="No"/>
    <s v="Chargeback Requested"/>
    <d v="2017-12-31T00:00:00"/>
  </r>
  <r>
    <s v="TX102775"/>
    <d v="2024-04-11T00:00:00"/>
    <s v="AC1421"/>
    <x v="24"/>
    <x v="2"/>
    <n v="23.53"/>
    <s v="GBP"/>
    <n v="102.9414"/>
    <n v="-1617365.94"/>
    <s v="ShopEasy"/>
    <n v="8605794738"/>
    <s v="shopeasy@biz.com"/>
    <s v="Groceries"/>
    <s v="Specialty"/>
    <s v="Australia"/>
    <x v="1"/>
    <n v="860976"/>
    <n v="4330800000000000"/>
    <s v="asha.desai@gmail.com"/>
    <n v="722138292"/>
    <s v="No"/>
    <s v="Promo Applied -- Verify_x000a_Contact Support"/>
    <d v="2020-10-25T00:00:00"/>
  </r>
  <r>
    <s v="TX101276"/>
    <d v="2025-03-07T00:00:00"/>
    <s v="AC8396"/>
    <x v="34"/>
    <x v="0"/>
    <n v="535.5"/>
    <s v="GBP"/>
    <n v="93.402900000000002"/>
    <n v="-596088.93000000005"/>
    <s v="Starbucks"/>
    <n v="-7725218632"/>
    <s v="starbucks@biz.com"/>
    <s v="Education"/>
    <s v="Course"/>
    <s v="Canada"/>
    <x v="1"/>
    <n v="108591"/>
    <s v="XXXX-XXXX-1483"/>
    <s v="rohit.kumar@hotmail.com"/>
    <n v="-8514441823"/>
    <s v="No"/>
    <s v="Cashback Credited"/>
    <d v="2023-09-05T00:00:00"/>
  </r>
  <r>
    <s v="TX103908"/>
    <d v="2024-10-06T00:00:00"/>
    <s v="AC5562"/>
    <x v="30"/>
    <x v="1"/>
    <n v="66.89"/>
    <s v="inr"/>
    <n v="1"/>
    <n v="-2120345.2799999998"/>
    <s v="Swiggy"/>
    <n v="1296647719"/>
    <s v="swiggy@biz.com"/>
    <s v="Dining"/>
    <s v="Restaurant"/>
    <s v="Australia"/>
    <x v="3"/>
    <n v="979349"/>
    <s v="XXXX-XXXX-XXXX-4285"/>
    <s v="sana.sharma@example.com"/>
    <n v="3449361920"/>
    <s v="No"/>
    <s v="Chargeback Requested"/>
    <d v="2015-05-01T00:00:00"/>
  </r>
  <r>
    <s v="TX104006"/>
    <d v="2023-01-11T00:00:00"/>
    <s v="AC9984"/>
    <x v="35"/>
    <x v="0"/>
    <n v="1.29"/>
    <s v="USD"/>
    <n v="73.0852"/>
    <n v="-2208810.7799999998"/>
    <s v="Paytm Mall"/>
    <n v="9897083696"/>
    <s v="paytmmall@biz.com"/>
    <s v="Dining"/>
    <s v="Restaurant"/>
    <s v="USA"/>
    <x v="7"/>
    <n v="351300"/>
    <s v="XXXX-XXXX-9913"/>
    <s v="arjun.iyer@example.com"/>
    <n v="1706155698"/>
    <s v="No"/>
    <s v="Chargeback Requested"/>
    <d v="2019-11-11T00:00:00"/>
  </r>
  <r>
    <s v="TX103337"/>
    <d v="2024-03-08T00:00:00"/>
    <s v="AC5867"/>
    <x v="36"/>
    <x v="1"/>
    <n v="27.69"/>
    <s v="INRr"/>
    <n v="1"/>
    <n v="-1809022.81"/>
    <s v="Paytm Mall"/>
    <n v="1607397480"/>
    <s v="paytmmall@biz.com"/>
    <s v="Groceries"/>
    <s v="Specialty"/>
    <s v="Australia"/>
    <x v="5"/>
    <n v="553"/>
    <s v="XXXX-XXXX-4744"/>
    <s v="priya.chopra@example.com"/>
    <n v="938399451"/>
    <s v="No"/>
    <s v="Monthly Subscription"/>
    <d v="2016-10-01T00:00:00"/>
  </r>
  <r>
    <s v="TX104468"/>
    <d v="2025-09-02T00:00:00"/>
    <s v="AC9358"/>
    <x v="37"/>
    <x v="0"/>
    <n v="37.67"/>
    <s v="inr"/>
    <n v="1"/>
    <n v="-2462531.85"/>
    <s v="Reliance"/>
    <n v="4268854419"/>
    <s v="reliance@biz.com"/>
    <s v="Travel"/>
    <s v="Flight"/>
    <s v="UAE"/>
    <x v="6"/>
    <n v="691"/>
    <s v="XXXX-XXXX-XXXX-6006"/>
    <s v="sana.roy@yahoo.com"/>
    <n v="7071633121"/>
    <s v="No"/>
    <s v="Suspected Fraud"/>
    <d v="1905-07-16T00:00:00"/>
  </r>
  <r>
    <s v="TX103865"/>
    <d v="2024-08-05T00:00:00"/>
    <s v="AC4846"/>
    <x v="38"/>
    <x v="2"/>
    <n v="13.82"/>
    <s v="inr"/>
    <n v="1"/>
    <n v="-2119220.4300000002"/>
    <s v="BigBasket"/>
    <n v="6470713546"/>
    <s v="bigbasket@biz.com"/>
    <s v="Groceries"/>
    <s v="Supermarket"/>
    <s v="India"/>
    <x v="0"/>
    <n v="669819"/>
    <s v="XXXX-XXXX-3072"/>
    <s v="asha.gupta@hotmail.com"/>
    <n v="7777309692"/>
    <s v="No"/>
    <s v="Promo Applied"/>
    <d v="1905-07-15T00:00:00"/>
  </r>
  <r>
    <s v="TX100145"/>
    <d v="2025-09-07T00:00:00"/>
    <s v="AC8556"/>
    <x v="39"/>
    <x v="0"/>
    <n v="84.62"/>
    <s v="inr"/>
    <n v="1"/>
    <n v="-155764.09"/>
    <s v="ElectroWorld"/>
    <n v="473010721"/>
    <s v="electroworld@biz.com"/>
    <s v="Groceries"/>
    <s v="Specialty"/>
    <s v="UK"/>
    <x v="5"/>
    <n v="980147"/>
    <s v="XXXX-XXXX-2915"/>
    <s v="isha.roy@example.com"/>
    <n v="4808707989"/>
    <s v="No"/>
    <s v="Chargeback Requested"/>
    <d v="2023-03-08T00:00:00"/>
  </r>
  <r>
    <s v="TX101863"/>
    <d v="2023-07-10T00:00:00"/>
    <s v="AC3127"/>
    <x v="40"/>
    <x v="0"/>
    <n v="4.0599999999999996"/>
    <s v="AED"/>
    <n v="18.560199999999998"/>
    <n v="-1150769.32"/>
    <s v="Starbucks"/>
    <n v="626568274"/>
    <s v="starbucks@biz.com"/>
    <s v="Clothing"/>
    <s v="Men"/>
    <s v="UAE"/>
    <x v="5"/>
    <n v="171188"/>
    <s v="XXXX-XXXX-1332"/>
    <s v="isha.desai@example.com"/>
    <n v="8956140389"/>
    <s v="No"/>
    <s v="Suspected Fraud"/>
    <d v="2017-01-04T00:00:00"/>
  </r>
  <r>
    <s v="TX102416"/>
    <d v="2025-08-02T00:00:00"/>
    <s v="AC2519"/>
    <x v="41"/>
    <x v="0"/>
    <n v="64.19"/>
    <s v="GBP"/>
    <n v="105.49720000000001"/>
    <n v="-1412394.75"/>
    <s v="Zomato"/>
    <n v="8062353958"/>
    <s v="zomato@biz.com"/>
    <s v="Automotive"/>
    <s v="Fuel"/>
    <s v="UK"/>
    <x v="5"/>
    <n v="875690"/>
    <s v="XXXX-XXXX-XXXX-8314"/>
    <s v="dv.kumar@example.com"/>
    <n v="8773687855"/>
    <s v="No"/>
    <s v="Cashback Credited"/>
    <d v="1905-07-14T00:00:00"/>
  </r>
  <r>
    <s v="TX102163"/>
    <d v="2023-11-10T00:00:00"/>
    <s v="AC2628"/>
    <x v="42"/>
    <x v="1"/>
    <n v="130.08000000000001"/>
    <s v="USD"/>
    <n v="72.781300000000002"/>
    <n v="-1214851.7"/>
    <s v="Swiggy"/>
    <n v="-7852966345"/>
    <s v="swiggy@biz.com"/>
    <s v="Dining"/>
    <s v="Cafe"/>
    <s v="UAE"/>
    <x v="3"/>
    <n v="955628"/>
    <s v="XXXX-XXXX-6011"/>
    <m/>
    <n v="3391703861"/>
    <s v="No"/>
    <s v="Suspected Fraud"/>
    <d v="1905-07-10T00:00:00"/>
  </r>
  <r>
    <s v="TX101925"/>
    <d v="2023-08-12T00:00:00"/>
    <s v="AC6179"/>
    <x v="43"/>
    <x v="1"/>
    <n v="10.99"/>
    <s v="inr"/>
    <n v="1"/>
    <n v="-1168312.2"/>
    <s v="AutoZone"/>
    <n v="-2033970703"/>
    <s v="autozone@biz.com"/>
    <s v="Groceries"/>
    <s v="Supermarket"/>
    <s v="USA"/>
    <x v="1"/>
    <n v="648188"/>
    <s v="XXXX-XXXX-6424"/>
    <s v="arjun.roy@hotmail.com"/>
    <n v="5522860385"/>
    <s v="No"/>
    <s v="Chargeback Requested"/>
    <d v="2025-01-10T00:00:00"/>
  </r>
  <r>
    <s v="TX102498"/>
    <d v="2024-09-06T00:00:00"/>
    <s v="AC4663"/>
    <x v="44"/>
    <x v="1"/>
    <n v="85.49"/>
    <s v="USD"/>
    <n v="76.046300000000002"/>
    <n v="-1499957.32"/>
    <s v="ElectroWorld"/>
    <n v="6662941098"/>
    <s v="electroworld@biz.com"/>
    <s v="Electronics"/>
    <s v="Laptop"/>
    <s v="Canada"/>
    <x v="1"/>
    <n v="838910"/>
    <s v="XXXX-XXXX-8583"/>
    <s v="raj.singh@gmail.com"/>
    <n v="8714398491"/>
    <s v="No"/>
    <s v="Suspected Fraud"/>
    <d v="2017-12-21T00:00:00"/>
  </r>
  <r>
    <s v="TX103978"/>
    <d v="2025-12-02T00:00:00"/>
    <s v="AC8823"/>
    <x v="45"/>
    <x v="1"/>
    <n v="65.48"/>
    <s v="inr"/>
    <n v="1"/>
    <n v="-2122452.94"/>
    <s v="Walmart"/>
    <n v="5603035769"/>
    <s v="walmart@biz.com"/>
    <s v="Automotive"/>
    <s v="Repair"/>
    <s v="UK"/>
    <x v="0"/>
    <n v="452882"/>
    <s v="XXXX-XXXX-XXXX-2026"/>
    <m/>
    <n v="-1371553967"/>
    <s v="No"/>
    <s v="Suspected Fraud"/>
    <d v="2016-09-01T00:00:00"/>
  </r>
  <r>
    <s v="TX105486"/>
    <d v="2024-07-09T00:00:00"/>
    <s v="AC7361"/>
    <x v="46"/>
    <x v="0"/>
    <n v="38.9"/>
    <s v="inr"/>
    <n v="1"/>
    <n v="-2825968.59"/>
    <s v="Swiggy"/>
    <n v="-4345759665"/>
    <s v="swiggy@biz.com"/>
    <s v="Clothing"/>
    <s v="Men"/>
    <s v="Canada"/>
    <x v="1"/>
    <n v="316037"/>
    <s v="XXXX-XXXX-8733"/>
    <s v="karan.sharma@example.com"/>
    <n v="-7664546625"/>
    <s v="No"/>
    <s v="Repeat Purchase"/>
    <d v="2020-10-01T00:00:00"/>
  </r>
  <r>
    <s v="TX103900"/>
    <d v="2023-04-11T00:00:00"/>
    <s v="AC5269"/>
    <x v="16"/>
    <x v="0"/>
    <n v="16.989999999999998"/>
    <s v="GBP"/>
    <n v="100.9122"/>
    <n v="-2119965.2400000002"/>
    <s v="LocalMart"/>
    <n v="2401269266"/>
    <s v="localmart@biz.com"/>
    <s v="Health"/>
    <s v="Pharmacy"/>
    <s v="Australia"/>
    <x v="10"/>
    <n v="575467"/>
    <s v="XXXX-XXXX-4697"/>
    <s v="uma.kumar@yahoo.com"/>
    <n v="9758477873"/>
    <s v="No"/>
    <s v="Cashback Credited"/>
    <d v="2020-01-01T00:00:00"/>
  </r>
  <r>
    <s v="TX101542"/>
    <d v="2025-12-06T00:00:00"/>
    <s v="AC8577"/>
    <x v="47"/>
    <x v="2"/>
    <n v="243.11"/>
    <s v="AED"/>
    <n v="20.424900000000001"/>
    <n v="-1000646.98"/>
    <s v="Paytm Mall"/>
    <n v="3666564207"/>
    <s v="paytmmall@biz.com"/>
    <s v="Health"/>
    <s v="Pharmacy"/>
    <s v="UAE"/>
    <x v="3"/>
    <n v="407"/>
    <n v="4020030000000000"/>
    <s v="lina.khan@example.com"/>
    <n v="5731378562"/>
    <s v="No"/>
    <s v="Cashback Credited"/>
    <d v="1905-07-08T00:00:00"/>
  </r>
  <r>
    <s v="TX105228"/>
    <d v="2023-02-10T00:00:00"/>
    <s v="AC2854"/>
    <x v="48"/>
    <x v="0"/>
    <n v="68.05"/>
    <s v="inr"/>
    <n v="1"/>
    <n v="-2681670.77"/>
    <s v="AutoZone"/>
    <n v="379353712"/>
    <s v="autozone@biz.com"/>
    <s v="Utilities"/>
    <s v="Electricity"/>
    <s v="UK"/>
    <x v="7"/>
    <n v="281447"/>
    <s v="XXXX-XXXX-XXXX-8473"/>
    <s v="neha.roy@gmail.com"/>
    <n v="8863745580"/>
    <s v="No"/>
    <s v="Promo Applied"/>
    <d v="1905-07-17T00:00:00"/>
  </r>
  <r>
    <s v="TX102817"/>
    <d v="2024-10-11T00:00:00"/>
    <s v="AC1974"/>
    <x v="49"/>
    <x v="1"/>
    <n v="51.55"/>
    <s v="USD"/>
    <n v="82.877600000000001"/>
    <n v="-1625157.65"/>
    <s v="Amazon"/>
    <n v="8483004037"/>
    <s v="amazon@biz.com"/>
    <s v="Electronics"/>
    <s v="Laptop"/>
    <s v="UK"/>
    <x v="5"/>
    <n v="513056"/>
    <s v="XXXX-XXXX-8037"/>
    <s v="ritu.khan@gmail.com"/>
    <n v="6572050200"/>
    <s v="No"/>
    <s v="Cashback Credited"/>
    <d v="2018-04-01T00:00:00"/>
  </r>
  <r>
    <s v="TX103208"/>
    <d v="2025-04-02T00:00:00"/>
    <s v="AC5734"/>
    <x v="50"/>
    <x v="0"/>
    <n v="97.56"/>
    <s v="GBP"/>
    <n v="109.9032"/>
    <n v="-1713414.29"/>
    <s v="Zomato"/>
    <n v="-904154154"/>
    <s v="zomato@biz.com"/>
    <s v="Travel"/>
    <s v="Flight"/>
    <s v="UAE"/>
    <x v="5"/>
    <n v="749008"/>
    <s v="XXXX-XXXX-8684"/>
    <s v="priya.patelgmail.com"/>
    <n v="1748713151"/>
    <s v="No"/>
    <s v="Suspected Fraud"/>
    <d v="2024-02-01T00:00:00"/>
  </r>
  <r>
    <s v="TX101181"/>
    <d v="2024-07-12T00:00:00"/>
    <s v="AC6643"/>
    <x v="51"/>
    <x v="1"/>
    <n v="175.99"/>
    <s v="USD"/>
    <n v="73.285700000000006"/>
    <n v="-565027.18999999994"/>
    <s v="BigBasket"/>
    <n v="-1920985313"/>
    <s v="bigbasket@biz.com"/>
    <s v="Electronics"/>
    <s v="Mobile"/>
    <s v="Canada"/>
    <x v="1"/>
    <n v="879092"/>
    <s v="XXXX-XXXX-6706"/>
    <s v="isha.singh@hotmailcom"/>
    <n v="-5057161852"/>
    <s v="No"/>
    <s v="Manual Adjustment"/>
    <d v="2020-03-03T00:00:00"/>
  </r>
  <r>
    <s v="TX103621"/>
    <d v="2023-09-10T00:00:00"/>
    <s v="AC7242"/>
    <x v="52"/>
    <x v="1"/>
    <n v="50.49"/>
    <s v="INRr"/>
    <n v="1"/>
    <n v="-1935286.17"/>
    <s v="Myntra"/>
    <n v="1131383701"/>
    <s v="myntra@biz.com"/>
    <s v="Dining"/>
    <s v="Restaurant"/>
    <s v="India"/>
    <x v="8"/>
    <n v="786037"/>
    <s v="XXXX-XXXX-9404"/>
    <s v="raj.roy@hotmail.com"/>
    <n v="5672667836"/>
    <s v="No"/>
    <s v="Monthly Subscription"/>
    <d v="2025-11-01T00:00:00"/>
  </r>
  <r>
    <s v="TX103663"/>
    <d v="2024-03-02T00:00:00"/>
    <s v="AC1384"/>
    <x v="53"/>
    <x v="1"/>
    <n v="48.18"/>
    <s v="AED"/>
    <n v="21.931799999999999"/>
    <n v="-1935763.68"/>
    <s v="Paytm Mall"/>
    <n v="8062967211"/>
    <s v="paytmmall@biz.com"/>
    <s v="Dining"/>
    <s v="Restaurant"/>
    <s v="UK"/>
    <x v="10"/>
    <n v="966968"/>
    <s v="XXXX-XXXX-3709"/>
    <s v="amit.roy@example.com"/>
    <n v="7895632760"/>
    <s v="No"/>
    <s v="Promo Applied"/>
    <d v="2024-10-13T00:00:00"/>
  </r>
  <r>
    <s v="TX104789"/>
    <d v="2025-08-01T00:00:00"/>
    <s v="AC1100"/>
    <x v="54"/>
    <x v="0"/>
    <n v="27"/>
    <s v="AED "/>
    <n v="21.054600000000001"/>
    <n v="-2538863.4500000002"/>
    <s v="ShopEasy"/>
    <n v="3998295820"/>
    <s v="shopeasy@biz.com"/>
    <s v="Health"/>
    <s v="Clinic"/>
    <s v="India"/>
    <x v="3"/>
    <n v="757616"/>
    <s v="XXXX-XXXX-7672"/>
    <s v="priya.das@example.com"/>
    <n v="-3496755176"/>
    <s v="No"/>
    <s v="Cashback Credited"/>
    <d v="2024-11-01T00:00:00"/>
  </r>
  <r>
    <s v="TX104594"/>
    <d v="2024-04-01T00:00:00"/>
    <s v="AC8609"/>
    <x v="55"/>
    <x v="2"/>
    <n v="32.79"/>
    <s v="AED"/>
    <n v="18.556799999999999"/>
    <n v="-2465675.9300000002"/>
    <s v="LocalMart"/>
    <n v="5343854970"/>
    <s v="localmart@biz.com"/>
    <s v="Automotive"/>
    <s v="Fuel"/>
    <s v="Canada"/>
    <x v="7"/>
    <n v="969246"/>
    <s v="XXXX-XXXX-5926"/>
    <s v="amit.mehta@example.com"/>
    <n v="3550050105"/>
    <s v="No"/>
    <s v="Promo Applied"/>
    <d v="2025-01-21T00:00:00"/>
  </r>
  <r>
    <s v="TX103355"/>
    <d v="2025-05-09T00:00:00"/>
    <s v="AC1164"/>
    <x v="56"/>
    <x v="0"/>
    <n v="27.15"/>
    <s v="inr"/>
    <n v="1"/>
    <n v="-1823739.44"/>
    <s v="Starbucks"/>
    <n v="9918131801"/>
    <s v="starbucks@biz.com"/>
    <s v="Dining"/>
    <s v="FastFood"/>
    <s v="USA"/>
    <x v="8"/>
    <n v="973435"/>
    <s v="XXXX-XXXX-6875"/>
    <s v="dev.khangmail.com"/>
    <n v="6197815310"/>
    <s v="No"/>
    <s v="Chargeback Requested"/>
    <d v="2016-03-29T00:00:00"/>
  </r>
  <r>
    <s v="TX103677"/>
    <d v="2024-08-10T00:00:00"/>
    <s v="AC2166"/>
    <x v="57"/>
    <x v="1"/>
    <n v="27.65"/>
    <s v="USD"/>
    <n v="78.126499999999993"/>
    <n v="-1936130.65"/>
    <s v="Paytm Mall"/>
    <n v="3958234954"/>
    <s v="paytmmall@biz.com"/>
    <s v="Entertainment"/>
    <s v="Concert"/>
    <s v="Canada"/>
    <x v="0"/>
    <n v="337099"/>
    <s v="XXXX-XXXX-9727"/>
    <s v="sana.patel@gmailcom"/>
    <n v="4401683230"/>
    <s v="No"/>
    <s v="Suspected Fraud"/>
    <d v="1905-07-10T00:00:00"/>
  </r>
  <r>
    <s v="TX101739"/>
    <d v="2024-01-05T00:00:00"/>
    <s v="AC5884"/>
    <x v="58"/>
    <x v="0"/>
    <n v="257.94"/>
    <s v="inr"/>
    <n v="1"/>
    <n v="-1143252.01"/>
    <s v="Swiggy"/>
    <n v="8101589662"/>
    <s v="swiggy@biz.com"/>
    <s v="Groceries"/>
    <s v="Supermarket"/>
    <s v="India"/>
    <x v="2"/>
    <n v="481052"/>
    <s v="XXXX-XXXX-XXXX-8560"/>
    <s v="karan.khan@yahoo.com"/>
    <n v="4183774386"/>
    <s v="No"/>
    <s v="Manual Adjustment -- Verify_x000a_Contact Support"/>
    <d v="2015-08-01T00:00:00"/>
  </r>
  <r>
    <s v="TX105290"/>
    <d v="2024-04-03T00:00:00"/>
    <s v="AC7591"/>
    <x v="59"/>
    <x v="2"/>
    <n v="218.87"/>
    <s v="USD"/>
    <n v="79.947100000000006"/>
    <n v="-2772830.83"/>
    <s v="Flipkart"/>
    <n v="5651402185"/>
    <s v="flipkart@biz.com"/>
    <s v="Electronics"/>
    <s v="Mobile"/>
    <s v="UK"/>
    <x v="3"/>
    <n v="414210"/>
    <s v="XXXX-XXXX-XXXX-4636"/>
    <s v="anita.singh@example.com"/>
    <n v="5792032988"/>
    <s v="No"/>
    <s v="Repeat Purchase"/>
    <d v="2015-08-30T00:00:00"/>
  </r>
  <r>
    <s v="TX105540"/>
    <d v="2025-03-01T00:00:00"/>
    <s v="AC1764"/>
    <x v="60"/>
    <x v="0"/>
    <n v="251.4"/>
    <s v="USD"/>
    <n v="78.464399999999998"/>
    <n v="-2867208"/>
    <s v="Paytm Mall"/>
    <n v="5010748803"/>
    <s v="paytmmall@biz.com"/>
    <s v="Health"/>
    <s v="Pharmacy"/>
    <s v="India"/>
    <x v="10"/>
    <n v="320941"/>
    <s v="XXXX-XXXX-XXXX-8072"/>
    <s v="ritu.singh@example.com"/>
    <n v="-9084996425"/>
    <s v="No"/>
    <s v="Monthly Subscription"/>
    <d v="2022-10-01T00:00:00"/>
  </r>
  <r>
    <s v="TX102853"/>
    <d v="2025-04-09T00:00:00"/>
    <s v="AC4621"/>
    <x v="61"/>
    <x v="0"/>
    <n v="43.15"/>
    <s v="inr"/>
    <n v="1"/>
    <n v="-1626478.47"/>
    <s v="ShopEasy"/>
    <n v="7022703945"/>
    <s v="shopeasy@biz.com"/>
    <s v="Dining"/>
    <s v="Cafe"/>
    <s v="USA"/>
    <x v="1"/>
    <n v="767949"/>
    <s v="XXXX-XXXX-XXXX-5926"/>
    <s v="rohit.roy@gmail.com"/>
    <n v="-6363066315"/>
    <s v="No"/>
    <s v="Manual Adjustment"/>
    <d v="2016-11-14T00:00:00"/>
  </r>
  <r>
    <s v="TX102428"/>
    <d v="2023-05-11T00:00:00"/>
    <s v="AC7808"/>
    <x v="62"/>
    <x v="2"/>
    <n v="127.64"/>
    <s v="inr"/>
    <n v="1"/>
    <n v="-1412582.57"/>
    <s v="Flipkart"/>
    <n v="6197837551"/>
    <s v="flipkart@biz.com"/>
    <s v="Automotive"/>
    <s v="Repair"/>
    <s v="Australia"/>
    <x v="6"/>
    <n v="854117"/>
    <s v="XXXX-XXXX-7371"/>
    <s v="isha.patelgmail.com"/>
    <n v="-1162316790"/>
    <s v="No"/>
    <s v="Manual Adjustment"/>
    <d v="1905-07-13T00:00:00"/>
  </r>
  <r>
    <s v="TX105522"/>
    <d v="2024-08-12T00:00:00"/>
    <s v="AC7165"/>
    <x v="63"/>
    <x v="2"/>
    <n v="81.790000000000006"/>
    <s v="inr"/>
    <n v="1"/>
    <n v="-2866496.44"/>
    <s v="ElectroWorld"/>
    <n v="7160950922"/>
    <s v="electroworld@biz.com"/>
    <s v="Automotive"/>
    <s v="Repair"/>
    <s v="UK"/>
    <x v="6"/>
    <n v="414148"/>
    <n v="4517480000000000"/>
    <s v="uma.khan@examplecom"/>
    <n v="7550571496"/>
    <s v="No"/>
    <s v="Promo Applied"/>
    <d v="1905-07-08T00:00:00"/>
  </r>
  <r>
    <s v="TX101561"/>
    <d v="2025-02-08T00:00:00"/>
    <s v="AC7611"/>
    <x v="64"/>
    <x v="1"/>
    <n v="13.51"/>
    <s v="inr"/>
    <n v="1"/>
    <n v="-1001091.43"/>
    <s v="BigBasket"/>
    <n v="111597435"/>
    <s v="bigbasket@biz.com"/>
    <s v="Automotive"/>
    <s v="Fuel"/>
    <s v="India"/>
    <x v="0"/>
    <n v="958774"/>
    <s v="XXXX-XXXX-XXXX-1091"/>
    <s v="ritu.sharma@hotmail.com"/>
    <n v="7407949554"/>
    <s v="No"/>
    <s v="Cashback Credited"/>
    <d v="2024-12-01T00:00:00"/>
  </r>
  <r>
    <s v="TX105718"/>
    <d v="2025-04-09T00:00:00"/>
    <s v="AC8092"/>
    <x v="65"/>
    <x v="1"/>
    <n v="64.53"/>
    <s v="inr"/>
    <n v="1"/>
    <n v="-2901462.11"/>
    <s v="BigBasket"/>
    <n v="709872848"/>
    <s v="bigbasket@biz.com"/>
    <s v="Utilities"/>
    <s v="Internet"/>
    <s v="USA"/>
    <x v="3"/>
    <n v="892064"/>
    <s v="XXXX-XXXX-1152"/>
    <s v="karan.joshi@hotmail.com"/>
    <n v="4561945586"/>
    <s v="No"/>
    <s v="Manual Adjustment"/>
    <d v="2022-05-01T00:00:00"/>
  </r>
  <r>
    <s v="TX104035"/>
    <d v="2025-05-08T00:00:00"/>
    <s v="AC7536"/>
    <x v="66"/>
    <x v="1"/>
    <n v="104.38"/>
    <s v="GBP"/>
    <n v="109.95829999999999"/>
    <n v="-2230556.46"/>
    <s v="Starbucks"/>
    <n v="5788475692"/>
    <s v="starbucks@biz.com"/>
    <s v="Dining"/>
    <s v="FastFood"/>
    <s v="UK"/>
    <x v="5"/>
    <n v="513083"/>
    <n v="4594080000000000"/>
    <s v="isha.reddy@yahoo.com"/>
    <n v="8578392034"/>
    <s v="No"/>
    <s v="Chargeback Requested"/>
    <d v="2017-05-01T00:00:00"/>
  </r>
  <r>
    <s v="TX103860"/>
    <d v="2024-11-04T00:00:00"/>
    <s v="AC1564"/>
    <x v="67"/>
    <x v="0"/>
    <n v="19.25"/>
    <s v="GBP"/>
    <n v="100.4254"/>
    <n v="-2119167.29"/>
    <s v="Reliance"/>
    <n v="-9560397742"/>
    <s v="reliance@biz.com"/>
    <s v="Clothing"/>
    <s v="Women"/>
    <s v="Canada"/>
    <x v="0"/>
    <n v="133723"/>
    <m/>
    <s v="rohit.khan@yahoo.com"/>
    <n v="4843169337"/>
    <s v="No"/>
    <s v="Cashback Credited"/>
    <d v="2018-12-06T00:00:00"/>
  </r>
  <r>
    <s v="TX101227"/>
    <d v="2025-06-04T00:00:00"/>
    <s v="AC5399"/>
    <x v="56"/>
    <x v="1"/>
    <n v="27.76"/>
    <s v="GBP"/>
    <n v="109.2437"/>
    <n v="-594004.77"/>
    <s v="AutoZone"/>
    <n v="4979069248"/>
    <s v="autozone@biz.com"/>
    <s v="Health"/>
    <s v="Pharmacy"/>
    <s v="USA"/>
    <x v="0"/>
    <n v="777160"/>
    <n v="4857790000000000"/>
    <s v="dev.khan@hotmail.com"/>
    <n v="8529116679"/>
    <s v="No"/>
    <s v="Chargeback Requested"/>
    <d v="2025-10-08T00:00:00"/>
  </r>
  <r>
    <s v="TX104886"/>
    <d v="2024-12-05T00:00:00"/>
    <s v="AC2593"/>
    <x v="47"/>
    <x v="0"/>
    <n v="13.12"/>
    <s v="inr"/>
    <n v="1"/>
    <n v="-2582385.23"/>
    <s v="Myntra"/>
    <n v="-444338102"/>
    <s v="myntra@biz.com"/>
    <s v="Health"/>
    <s v="Pharmacy"/>
    <s v="UK"/>
    <x v="10"/>
    <n v="343243"/>
    <s v="XXXX-XXXX-8109"/>
    <s v="lina.khan@hotmail.com"/>
    <n v="3934311498"/>
    <s v="No"/>
    <s v="Chargeback Requested"/>
    <d v="1905-07-14T00:00:00"/>
  </r>
  <r>
    <s v="TX105731"/>
    <d v="2023-11-11T00:00:00"/>
    <s v="AC7428"/>
    <x v="68"/>
    <x v="1"/>
    <n v="34.869999999999997"/>
    <s v="AED"/>
    <n v="18.395099999999999"/>
    <n v="-2901701.27"/>
    <s v="ElectroWorld"/>
    <n v="7203446344"/>
    <s v="electroworld@biz.com"/>
    <s v="Education"/>
    <s v="Books"/>
    <s v="Canada"/>
    <x v="7"/>
    <n v="427082"/>
    <s v="XXXX-XXXX-6211"/>
    <s v="lina.mehta@yahoo.com"/>
    <n v="8768624264"/>
    <s v="No"/>
    <s v="Suspected Fraud"/>
    <d v="1905-07-13T00:00:00"/>
  </r>
  <r>
    <s v="TX105835"/>
    <d v="2025-11-02T00:00:00"/>
    <s v="AC3940"/>
    <x v="69"/>
    <x v="0"/>
    <n v="20"/>
    <s v="USD"/>
    <n v="81.117900000000006"/>
    <n v="-2913130.99"/>
    <s v="Flipkart"/>
    <n v="2143674865"/>
    <s v="flipkart@biz.com"/>
    <s v="Dining"/>
    <s v="Restaurant"/>
    <s v="Australia"/>
    <x v="6"/>
    <n v="858318"/>
    <s v="XXXX-XXXX-XXXX-8777"/>
    <s v="raj.gupta@yahoo.com"/>
    <n v="-6731174457"/>
    <s v="No"/>
    <s v="Chargeback Requested"/>
    <d v="2015-12-01T00:00:00"/>
  </r>
  <r>
    <s v="TX103962"/>
    <d v="2024-06-10T00:00:00"/>
    <s v="AC6331"/>
    <x v="70"/>
    <x v="2"/>
    <n v="35.130000000000003"/>
    <s v="inr"/>
    <n v="1"/>
    <n v="-2121826.5699999998"/>
    <s v="BigBasket"/>
    <n v="2120393553"/>
    <s v="bigbasket@biz.com"/>
    <s v="Electronics"/>
    <s v="Accessory"/>
    <s v="India"/>
    <x v="8"/>
    <n v="752228"/>
    <s v="XXXX-XXXX-XXXX-3378"/>
    <m/>
    <n v="8489373402"/>
    <s v="No"/>
    <s v="Chargeback Requested"/>
    <d v="2015-08-01T00:00:00"/>
  </r>
  <r>
    <s v="TX100912"/>
    <d v="2024-06-09T00:00:00"/>
    <s v="AC1814"/>
    <x v="71"/>
    <x v="1"/>
    <n v="44.67"/>
    <s v="GBP"/>
    <n v="101.8085"/>
    <n v="-529548.94999999995"/>
    <s v="Paytm Mall"/>
    <n v="8010594050"/>
    <s v="paytmmall@biz.com"/>
    <s v="Groceries"/>
    <s v="Specialty"/>
    <s v="India"/>
    <x v="4"/>
    <n v="110763"/>
    <s v="XXXX-XXXX-2927"/>
    <s v="isha.mehta@example.com"/>
    <n v="4592546887"/>
    <s v="No"/>
    <s v="Monthly Subscription"/>
    <d v="2016-11-25T00:00:00"/>
  </r>
  <r>
    <s v="TX105833"/>
    <d v="2024-12-04T00:00:00"/>
    <s v="AC3193"/>
    <x v="72"/>
    <x v="0"/>
    <n v="88.65"/>
    <s v="AED"/>
    <n v="20.904399999999999"/>
    <n v="-2913100.33"/>
    <s v="ShopEasy"/>
    <n v="578769294"/>
    <s v="shopeasy@biz.com"/>
    <s v="Automotive"/>
    <s v="Repair"/>
    <s v="UAE"/>
    <x v="4"/>
    <n v="517564"/>
    <s v="XXXX-XXXX-8578"/>
    <s v="neha.nair@example.com"/>
    <n v="5745948570"/>
    <s v="No"/>
    <s v="Suspected Fraud"/>
    <d v="1905-07-17T00:00:00"/>
  </r>
  <r>
    <s v="TX102572"/>
    <d v="2024-05-05T00:00:00"/>
    <s v="AC7403"/>
    <x v="19"/>
    <x v="1"/>
    <n v="23.11"/>
    <s v="AED"/>
    <n v="19.677"/>
    <n v="-1558047.91"/>
    <s v="Swiggy"/>
    <n v="859511226"/>
    <s v="swiggy@biz.com"/>
    <s v="Automotive"/>
    <s v="Fuel"/>
    <s v="India"/>
    <x v="3"/>
    <n v="640884"/>
    <s v="XXXX-XXXX-3436"/>
    <s v="uma.mehta@gmail.com"/>
    <n v="6268860888"/>
    <s v="No"/>
    <s v="Repeat Purchase"/>
    <d v="2015-05-01T00:00:00"/>
  </r>
  <r>
    <s v="TX101740"/>
    <d v="2025-04-05T00:00:00"/>
    <s v="AC4332"/>
    <x v="73"/>
    <x v="2"/>
    <n v="29.21"/>
    <s v="AED"/>
    <n v="19.315999999999999"/>
    <n v="-1143237.4099999999"/>
    <s v="LocalMart"/>
    <n v="-3654906349"/>
    <s v="localmart@biz.com"/>
    <s v="Clothing"/>
    <s v="Men"/>
    <s v="India"/>
    <x v="10"/>
    <n v="840095"/>
    <s v="XXXX-XXXX-5844"/>
    <s v="anita.khan@example.com"/>
    <n v="1838098350"/>
    <s v="No"/>
    <s v="Chargeback Requested"/>
    <d v="1905-07-14T00:00:00"/>
  </r>
  <r>
    <s v="TX101406"/>
    <d v="2025-02-03T00:00:00"/>
    <s v="AC5537"/>
    <x v="64"/>
    <x v="1"/>
    <n v="6.01"/>
    <s v="USD"/>
    <n v="80.390799999999999"/>
    <n v="-975164.04"/>
    <s v="Starbucks"/>
    <n v="-6188846141"/>
    <s v="starbucks@biz.com"/>
    <s v="Clothing"/>
    <s v="Women"/>
    <s v="Canada"/>
    <x v="8"/>
    <n v="623399"/>
    <s v="XXXX-XXXX-XXXX-8298"/>
    <s v="ritu.sharma@gmail.com"/>
    <n v="2401243896"/>
    <s v="No"/>
    <s v="Promo Applied"/>
    <d v="2022-07-01T00:00:00"/>
  </r>
  <r>
    <s v="TX103166"/>
    <d v="2024-11-12T00:00:00"/>
    <s v="AC9029"/>
    <x v="51"/>
    <x v="2"/>
    <n v="20.74"/>
    <s v="USD"/>
    <n v="75.796999999999997"/>
    <n v="-1705950.95"/>
    <s v="Zomato"/>
    <n v="1923144367"/>
    <s v="zomato@biz.com"/>
    <s v="Groceries"/>
    <s v="Supermarket"/>
    <s v="India"/>
    <x v="4"/>
    <n v="256083"/>
    <n v="4240660000000000"/>
    <s v="isha.singh@yahoo.com"/>
    <n v="1665794955"/>
    <s v="No"/>
    <s v=" -- Verify_x000a_Contact Support"/>
    <d v="1905-07-09T00:00:00"/>
  </r>
  <r>
    <s v="TX104446"/>
    <d v="2024-11-02T00:00:00"/>
    <s v="AC3092"/>
    <x v="74"/>
    <x v="0"/>
    <n v="11.54"/>
    <s v="GBP"/>
    <n v="101.806"/>
    <n v="-2452625.14"/>
    <s v="BigBasket"/>
    <n v="4929511544"/>
    <s v="bigbasket@biz.com"/>
    <s v="Utilities"/>
    <s v="Internet"/>
    <s v="Canada"/>
    <x v="2"/>
    <n v="801035"/>
    <m/>
    <s v="neha.reddy@hotmail.com"/>
    <n v="465904193"/>
    <s v="No"/>
    <s v="Monthly Subscription"/>
    <d v="2017-06-01T00:00:00"/>
  </r>
  <r>
    <s v="TX100377"/>
    <d v="2024-06-11T00:00:00"/>
    <s v="AC6939"/>
    <x v="75"/>
    <x v="2"/>
    <n v="41.26"/>
    <s v="GBP"/>
    <n v="108.8036"/>
    <n v="-189629.74"/>
    <s v="AutoZone"/>
    <n v="-8473024769"/>
    <s v="autozone@biz.com"/>
    <s v="Clothing"/>
    <s v="Men"/>
    <s v="Australia"/>
    <x v="2"/>
    <n v="205925"/>
    <s v="XXXX-XXXX-9643"/>
    <s v="suresh.reddy@hotmail.com"/>
    <n v="8412840981"/>
    <s v="No"/>
    <s v="Cashback Credited"/>
    <d v="1905-07-10T00:00:00"/>
  </r>
  <r>
    <s v="TX102224"/>
    <d v="2023-11-10T00:00:00"/>
    <s v="AC5498"/>
    <x v="76"/>
    <x v="2"/>
    <n v="15.19"/>
    <s v="USD"/>
    <n v="78.790899999999993"/>
    <n v="-1269689.96"/>
    <s v="Swiggy"/>
    <n v="7903099010"/>
    <s v="swiggy@biz.com"/>
    <s v="Electronics"/>
    <s v="Accessory"/>
    <s v="UK"/>
    <x v="10"/>
    <n v="248584"/>
    <s v="XXXX-XXXX-XXXX-7762"/>
    <s v="arjun.sharma@hotmail.com"/>
    <n v="2570621045"/>
    <s v="No"/>
    <s v="Repeat Purchase"/>
    <d v="2024-11-06T00:00:00"/>
  </r>
  <r>
    <s v="TX105696"/>
    <d v="2025-04-01T00:00:00"/>
    <s v="AC6704"/>
    <x v="77"/>
    <x v="1"/>
    <n v="20.49"/>
    <s v="inr"/>
    <n v="1"/>
    <n v="-2900960.27"/>
    <s v="Flipkart"/>
    <n v="1903811519"/>
    <s v="flipkart@biz.com"/>
    <s v="Electronics"/>
    <s v="Mobile"/>
    <s v="India"/>
    <x v="0"/>
    <n v="895875"/>
    <s v="XXXX-XXXX-4857"/>
    <s v="priya.iyer@hotmail.com"/>
    <n v="-272561397"/>
    <s v="No"/>
    <s v="Chargeback Requested"/>
    <d v="2026-02-01T00:00:00"/>
  </r>
  <r>
    <s v="TX103716"/>
    <d v="2023-04-10T00:00:00"/>
    <s v="AC1490"/>
    <x v="55"/>
    <x v="2"/>
    <n v="1622.48"/>
    <s v="inr"/>
    <n v="1"/>
    <n v="-1938110.87"/>
    <s v="Starbucks"/>
    <n v="7113675255"/>
    <s v="starbucks@biz.com"/>
    <s v="Utilities"/>
    <s v="Electricity"/>
    <s v="Canada"/>
    <x v="7"/>
    <n v="271698"/>
    <s v="XXXX-XXXX-7014"/>
    <s v="amit.mehta@yahoo.com"/>
    <n v="9612912187"/>
    <s v="No"/>
    <s v="Chargeback Requested"/>
    <d v="2026-03-01T00:00:00"/>
  </r>
  <r>
    <s v="TX103882"/>
    <d v="2024-10-12T00:00:00"/>
    <s v="AC4026"/>
    <x v="39"/>
    <x v="0"/>
    <n v="3.62"/>
    <s v="inr"/>
    <n v="1"/>
    <n v="-2119596.36"/>
    <s v="ShopEasy"/>
    <n v="2288783619"/>
    <s v="shopeasy@biz.com"/>
    <s v="Education"/>
    <s v="Course"/>
    <s v="India"/>
    <x v="8"/>
    <n v="914517"/>
    <s v="XXXX-XXXX-7255"/>
    <s v="isha.roy@hotmail.com"/>
    <n v="6993253523"/>
    <s v="No"/>
    <s v="Promo Applied"/>
    <d v="2021-02-07T00:00:00"/>
  </r>
  <r>
    <s v="TX104553"/>
    <d v="2024-12-10T00:00:00"/>
    <s v="AC2393"/>
    <x v="78"/>
    <x v="0"/>
    <n v="10.39"/>
    <s v="AED"/>
    <n v="21.020399999999999"/>
    <n v="-2464656.91"/>
    <s v="ElectroWorld"/>
    <n v="9089855324"/>
    <s v="electroworld@biz.com"/>
    <s v="Health"/>
    <s v="Clinic"/>
    <s v="USA"/>
    <x v="10"/>
    <n v="887975"/>
    <n v="4551540000000000"/>
    <s v="lina.reddy@yahoo.com"/>
    <n v="908207179"/>
    <s v="No"/>
    <s v="Chargeback Requested"/>
    <d v="1905-07-17T00:00:00"/>
  </r>
  <r>
    <s v="TX100172"/>
    <d v="2025-04-08T00:00:00"/>
    <s v="AC9812"/>
    <x v="2"/>
    <x v="1"/>
    <n v="30.19"/>
    <s v="inr"/>
    <n v="1"/>
    <n v="-160146.20000000001"/>
    <s v="Paytm Mall"/>
    <n v="3793110600"/>
    <s v="paytmmall@biz.com"/>
    <s v="Travel"/>
    <s v="Flight"/>
    <s v="USA"/>
    <x v="1"/>
    <n v="526674"/>
    <s v="XXXX-XXXX-6015"/>
    <s v="karan.bose@gmail.com"/>
    <n v="1545030892"/>
    <s v="No"/>
    <s v="Chargeback Requested"/>
    <d v="1905-07-13T00:00:00"/>
  </r>
  <r>
    <s v="TX102933"/>
    <d v="2025-12-03T00:00:00"/>
    <s v="AC9195"/>
    <x v="79"/>
    <x v="0"/>
    <n v="104.21"/>
    <s v="inr"/>
    <n v="1"/>
    <n v="-1640612.2"/>
    <s v="Flipkart"/>
    <n v="1350917147"/>
    <s v="flipkart@biz.com"/>
    <s v="Education"/>
    <s v="Books"/>
    <s v="Canada"/>
    <x v="0"/>
    <n v="594508"/>
    <s v="XXXX-XXXX-5841"/>
    <s v="lina.patel@yahoo.com"/>
    <n v="9582863229"/>
    <s v="No"/>
    <s v="Manual Adjustment"/>
    <d v="2015-12-31T00:00:00"/>
  </r>
  <r>
    <s v="TX102567"/>
    <d v="2023-04-10T00:00:00"/>
    <s v="AC9188"/>
    <x v="80"/>
    <x v="1"/>
    <n v="72.34"/>
    <s v="USD"/>
    <n v="79.554400000000001"/>
    <n v="-1557960.14"/>
    <s v="AutoZone"/>
    <n v="7462154242"/>
    <s v="autozone@biz.com"/>
    <s v="Dining"/>
    <s v="Restaurant"/>
    <s v="India"/>
    <x v="2"/>
    <n v="773239"/>
    <n v="4246890000000000"/>
    <s v="rahul.chopragmail.com"/>
    <n v="8501514029"/>
    <s v="No"/>
    <s v="Monthly Subscription"/>
    <d v="1905-07-18T00:00:00"/>
  </r>
  <r>
    <s v="TX101547"/>
    <d v="2024-02-01T00:00:00"/>
    <s v="AC4385"/>
    <x v="81"/>
    <x v="0"/>
    <n v="47.57"/>
    <s v="GBP"/>
    <n v="96.313100000000006"/>
    <n v="-1000722.43"/>
    <s v="Zomato"/>
    <n v="-6294899110"/>
    <s v="zomato@biz.com"/>
    <s v="Groceries"/>
    <s v="Supermarket"/>
    <s v="USA"/>
    <x v="7"/>
    <n v="597211"/>
    <s v="XXXX-XXXX-XXXX-4663"/>
    <s v="neha.das@hotmail.com"/>
    <n v="9355521250"/>
    <s v="No"/>
    <s v="Chargeback Requested"/>
    <d v="2020-10-13T00:00:00"/>
  </r>
  <r>
    <s v="TX104370"/>
    <d v="2025-01-07T00:00:00"/>
    <s v="AC5148"/>
    <x v="82"/>
    <x v="1"/>
    <n v="4.09"/>
    <s v="AED"/>
    <n v="20.136800000000001"/>
    <n v="-2420180.4300000002"/>
    <s v="AutoZone"/>
    <n v="-9381576547"/>
    <s v="autozone@biz.com"/>
    <s v="Travel"/>
    <s v="Flight"/>
    <s v="India"/>
    <x v="4"/>
    <n v="486940"/>
    <s v="XXXX-XXXX-5992"/>
    <s v="sam.gupta@example.com"/>
    <n v="-6798814352"/>
    <s v="No"/>
    <s v="Manual Adjustment"/>
    <d v="2023-07-01T00:00:00"/>
  </r>
  <r>
    <s v="TX100459"/>
    <d v="2024-05-05T00:00:00"/>
    <s v="AC2354"/>
    <x v="83"/>
    <x v="1"/>
    <n v="-7.87"/>
    <s v="USD"/>
    <n v="74.887600000000006"/>
    <n v="-258954.27"/>
    <s v="Zomato"/>
    <n v="9342828972"/>
    <s v="zomato@biz.com"/>
    <s v="Health"/>
    <s v="Pharmacy"/>
    <s v="UK"/>
    <x v="2"/>
    <n v="745122"/>
    <s v="XXXX-XXXX-XXXX-6987"/>
    <s v="lina.chopra@example.com"/>
    <n v="-808909620"/>
    <s v="No"/>
    <s v="Suspected Fraud"/>
    <d v="2022-04-23T00:00:00"/>
  </r>
  <r>
    <s v="TX104151"/>
    <d v="2025-05-01T00:00:00"/>
    <s v="AC2227"/>
    <x v="84"/>
    <x v="0"/>
    <n v="128.16999999999999"/>
    <s v="inr"/>
    <n v="1"/>
    <n v="-2236740.29"/>
    <s v="ShopEasy"/>
    <n v="-6174948056"/>
    <s v="shopeasy@biz.com"/>
    <s v="Travel"/>
    <s v="Hotel"/>
    <s v="Australia"/>
    <x v="2"/>
    <n v="841563"/>
    <s v="XXXX-XXXX-XXXX-2947"/>
    <s v="nha.mhta@yahoo.com"/>
    <n v="7531397513"/>
    <s v="No"/>
    <s v="Promo Applied"/>
    <d v="2024-11-01T00:00:00"/>
  </r>
  <r>
    <s v="TX103293"/>
    <d v="2024-06-08T00:00:00"/>
    <s v="AC3519"/>
    <x v="74"/>
    <x v="1"/>
    <n v="49.68"/>
    <s v="USD"/>
    <n v="73.788200000000003"/>
    <n v="-1807434.16"/>
    <s v="LocalMart"/>
    <n v="2067361681"/>
    <s v="localmart@biz.com"/>
    <s v="Clothing"/>
    <s v="Men"/>
    <s v="India"/>
    <x v="0"/>
    <n v="128545"/>
    <n v="4720530000000000"/>
    <s v="neha.reddy@yahoo.com"/>
    <n v="2414487847"/>
    <s v="No"/>
    <s v="Cashback Credited"/>
    <d v="1905-07-13T00:00:00"/>
  </r>
  <r>
    <s v="TX101086"/>
    <d v="2024-07-07T00:00:00"/>
    <s v="AC2663"/>
    <x v="85"/>
    <x v="2"/>
    <n v="114.02"/>
    <s v="inr"/>
    <n v="1"/>
    <n v="-554448.64000000001"/>
    <s v="Starbucks"/>
    <n v="3685965551"/>
    <s v="starbucks@biz.com"/>
    <s v="Entertainment"/>
    <s v="Concert"/>
    <s v="UK"/>
    <x v="10"/>
    <n v="863168"/>
    <s v="XXXX-XXXX-9613"/>
    <s v="suresh.mehta@example.com"/>
    <n v="4898682634"/>
    <s v="No"/>
    <s v="Suspected Fraud"/>
    <d v="2019-11-01T00:00:00"/>
  </r>
  <r>
    <s v="TX101767"/>
    <d v="2025-05-06T00:00:00"/>
    <s v="AC9834"/>
    <x v="86"/>
    <x v="0"/>
    <n v="26.81"/>
    <s v="GBP"/>
    <n v="107.07259999999999"/>
    <n v="-1130326.19"/>
    <s v="ElectroWorld"/>
    <n v="3634159841"/>
    <s v="electroworld@biz.com"/>
    <s v="Groceries"/>
    <s v="Supermarket"/>
    <s v="USA"/>
    <x v="0"/>
    <n v="711378"/>
    <s v="XXXX-XXXX-XXXX-5189"/>
    <s v="rohit.patel@hotmail.com"/>
    <n v="6856945980"/>
    <s v="No"/>
    <s v="Cashback Credited"/>
    <d v="1905-07-11T00:00:00"/>
  </r>
  <r>
    <s v="TX100932"/>
    <d v="2025-09-02T00:00:00"/>
    <s v="AC9531"/>
    <x v="87"/>
    <x v="1"/>
    <n v="5.83"/>
    <s v="USD"/>
    <n v="79.363500000000002"/>
    <n v="-529957.32999999996"/>
    <s v="BigBasket"/>
    <n v="3768900462"/>
    <s v="bigbasket@biz.com"/>
    <s v="Travel"/>
    <s v="Flight"/>
    <s v="UK"/>
    <x v="8"/>
    <n v="110501"/>
    <s v="XXXX-XXXX-6739"/>
    <s v="anita.gupta@yahoo.com"/>
    <n v="6989934208"/>
    <s v="No"/>
    <s v="Chargeback Requested"/>
    <d v="2019-01-10T00:00:00"/>
  </r>
  <r>
    <s v="TX102242"/>
    <d v="2025-03-09T00:00:00"/>
    <s v="AC1187"/>
    <x v="88"/>
    <x v="0"/>
    <n v="354.86"/>
    <s v="GBP"/>
    <n v="99.921499999999995"/>
    <n v="-1270347.94"/>
    <s v="Myntra"/>
    <n v="3570554714"/>
    <s v="myntra@biz.com"/>
    <s v="Groceries"/>
    <s v="Supermarket"/>
    <s v="Australia"/>
    <x v="7"/>
    <n v="722673"/>
    <n v="4048660000000000"/>
    <s v="sana.das@hotmail.com"/>
    <n v="-478820053"/>
    <s v="No"/>
    <s v="Suspected Fraud"/>
    <d v="2026-02-01T00:00:00"/>
  </r>
  <r>
    <s v="TX101341"/>
    <d v="2024-05-05T00:00:00"/>
    <s v="AC1235"/>
    <x v="30"/>
    <x v="0"/>
    <n v="33.24"/>
    <s v="AED"/>
    <n v="21.216999999999999"/>
    <n v="-973841.91"/>
    <s v="Reliance"/>
    <n v="-5482469650"/>
    <s v="reliance@biz.com"/>
    <s v="Entertainment"/>
    <s v="Streaming"/>
    <s v="UK"/>
    <x v="4"/>
    <n v="162518"/>
    <s v="XXXX-XXXX-1647"/>
    <s v="sana.sharma@gmail.com"/>
    <n v="1150335547"/>
    <s v="No"/>
    <s v="Cashback Credited"/>
    <d v="2021-05-12T00:00:00"/>
  </r>
  <r>
    <s v="TX104631"/>
    <d v="2024-08-09T00:00:00"/>
    <s v="AC6588"/>
    <x v="89"/>
    <x v="0"/>
    <n v="17.34"/>
    <s v="USD"/>
    <n v="72.751800000000003"/>
    <n v="-2466775.5099999998"/>
    <s v="BigBasket"/>
    <n v="6984728116"/>
    <s v="bigbasket@biz.com"/>
    <s v="Electronics"/>
    <s v="Laptop"/>
    <s v="Australia"/>
    <x v="8"/>
    <n v="490171"/>
    <s v="XXXX-XXXX-9038"/>
    <s v="priya.sharma@hotmailcom"/>
    <n v="8274994878"/>
    <s v="No"/>
    <s v="Chargeback Requested"/>
    <d v="2023-04-02T00:00:00"/>
  </r>
  <r>
    <s v="TX101629"/>
    <d v="2024-06-09T00:00:00"/>
    <s v="AC1350"/>
    <x v="90"/>
    <x v="0"/>
    <n v="92.14"/>
    <s v="USD"/>
    <n v="72.593299999999999"/>
    <n v="-1076099.33"/>
    <s v="Zomato"/>
    <n v="959602808"/>
    <s v="zomato@biz.com"/>
    <s v="Entertainment"/>
    <s v="Streaming"/>
    <s v="Australia"/>
    <x v="7"/>
    <n v="927226"/>
    <s v="XXXX-XXXX-6162"/>
    <s v="raj.iyer@yahoo.com"/>
    <n v="-4919767181"/>
    <s v="No"/>
    <s v="Monthly Subscription"/>
    <d v="2022-10-08T00:00:00"/>
  </r>
  <r>
    <s v="TX102610"/>
    <d v="2024-06-02T00:00:00"/>
    <s v="AC8247"/>
    <x v="91"/>
    <x v="2"/>
    <n v="72.37"/>
    <s v="USD"/>
    <n v="82.440200000000004"/>
    <n v="-1559508.72"/>
    <s v="Paytm Mall"/>
    <n v="7164080903"/>
    <s v="paytmmall@biz.com"/>
    <s v="Groceries"/>
    <s v="Specialty"/>
    <s v="Canada"/>
    <x v="10"/>
    <n v="578117"/>
    <s v="XXXX-XXXX-XXXX-9452"/>
    <s v="amit.desai@example.com"/>
    <n v="3431287002"/>
    <s v="No"/>
    <s v="Chargeback Requested"/>
    <d v="1905-07-13T00:00:00"/>
  </r>
  <r>
    <s v="TX100766"/>
    <d v="2025-07-04T00:00:00"/>
    <s v="AC2222"/>
    <x v="92"/>
    <x v="2"/>
    <n v="31.75"/>
    <s v="inr"/>
    <n v="1"/>
    <n v="-446368.24"/>
    <s v="Myntra"/>
    <n v="1913108020"/>
    <s v="myntra@biz.com"/>
    <s v="Travel"/>
    <s v="Flight"/>
    <s v="UAE"/>
    <x v="2"/>
    <n v="862279"/>
    <s v="XXXX-XXXX-XXXX-2988"/>
    <s v="ritu.gupta@example.com"/>
    <n v="280484583"/>
    <s v="No"/>
    <s v="Monthly Subscription"/>
    <d v="1905-07-12T00:00:00"/>
  </r>
  <r>
    <s v="TX104513"/>
    <d v="2025-03-08T00:00:00"/>
    <s v="AC1403"/>
    <x v="93"/>
    <x v="0"/>
    <n v="10.78"/>
    <s v="USD"/>
    <n v="81.556299999999993"/>
    <n v="-2463605.84"/>
    <s v="Flipkart"/>
    <n v="6813676776"/>
    <s v="flipkart@biz.com"/>
    <s v="Utilities"/>
    <s v="Electricity"/>
    <s v="Australia"/>
    <x v="1"/>
    <n v="218328"/>
    <n v="4374180000000000"/>
    <s v="sam.reddy@gmail.com"/>
    <n v="9345207146"/>
    <s v="No"/>
    <s v="Chargeback Requested"/>
    <d v="2019-03-08T00:00:00"/>
  </r>
  <r>
    <s v="TX104733"/>
    <d v="2024-11-12T00:00:00"/>
    <s v="AC4160"/>
    <x v="25"/>
    <x v="1"/>
    <n v="58.45"/>
    <s v="USD"/>
    <n v="79.755399999999995"/>
    <n v="-2514386.67"/>
    <s v="Swiggy"/>
    <n v="6259006471"/>
    <s v="swiggy@biz.com"/>
    <s v="Education"/>
    <s v="Books"/>
    <s v="UK"/>
    <x v="10"/>
    <n v="370080"/>
    <n v="4465560000000000"/>
    <s v="rohit.chopra@yahoo.com"/>
    <n v="1563515311"/>
    <s v="No"/>
    <s v="Cashback Credited"/>
    <d v="2018-10-12T00:00:00"/>
  </r>
  <r>
    <s v="TX105812"/>
    <d v="2023-09-10T00:00:00"/>
    <s v="AC2022"/>
    <x v="94"/>
    <x v="2"/>
    <n v="43.07"/>
    <s v="USD"/>
    <n v="79.392899999999997"/>
    <n v="-2904005.07"/>
    <s v="Amazon"/>
    <n v="6697846923"/>
    <s v="amazon@biz.com"/>
    <s v="Dining"/>
    <s v="Restaurant"/>
    <s v="Canada"/>
    <x v="1"/>
    <n v="951749"/>
    <s v="XXXX-XXXX-8008"/>
    <s v="suresh.nair@example.com "/>
    <n v="4855386161"/>
    <s v="No"/>
    <s v="Chargeback Requested"/>
    <d v="2023-04-01T00:00:00"/>
  </r>
  <r>
    <s v="TX104082"/>
    <d v="2024-06-02T00:00:00"/>
    <s v="AC4488"/>
    <x v="43"/>
    <x v="0"/>
    <n v="248.24"/>
    <s v="AED"/>
    <n v="18.930900000000001"/>
    <n v="-2231948.38"/>
    <s v="Myntra"/>
    <n v="514836786"/>
    <s v="myntra@biz.com"/>
    <s v="Health"/>
    <s v="Pharmacy"/>
    <s v="India"/>
    <x v="0"/>
    <n v="146210"/>
    <s v="XXXX-XXXX-3162"/>
    <s v="arjun.roy@example.com"/>
    <n v="7525174773"/>
    <s v="No"/>
    <s v="Suspected Fraud"/>
    <d v="2017-10-12T00:00:00"/>
  </r>
  <r>
    <s v="TX105079"/>
    <d v="2025-11-01T00:00:00"/>
    <s v="AC6615"/>
    <x v="95"/>
    <x v="1"/>
    <n v="195.13"/>
    <s v="inr"/>
    <n v="1"/>
    <n v="-2652902.35"/>
    <s v="ElectroWorld"/>
    <n v="-4430421789"/>
    <s v="electroworld@biz.com"/>
    <s v="Dining"/>
    <s v="Cafe"/>
    <s v="India"/>
    <x v="10"/>
    <n v="123556"/>
    <s v="XXXX-XXXX-1364"/>
    <s v="rahl.singh@example.com"/>
    <n v="8297458816"/>
    <s v="No"/>
    <s v="Promo Applied"/>
    <d v="2020-01-01T00:00:00"/>
  </r>
  <r>
    <s v="TX105166"/>
    <d v="2025-08-08T00:00:00"/>
    <s v="AC5597"/>
    <x v="5"/>
    <x v="1"/>
    <n v="18.100000000000001"/>
    <s v="INRr"/>
    <n v="1"/>
    <n v="-2679423.69"/>
    <s v="Starbucks"/>
    <n v="8545145288"/>
    <s v="starbucks@biz.com"/>
    <s v="Clothing"/>
    <s v="Men"/>
    <s v="Canada"/>
    <x v="10"/>
    <n v="933030"/>
    <n v="4563680000000000"/>
    <s v="dev.iyer@yahoo.com"/>
    <n v="2485265218"/>
    <s v="No"/>
    <s v="Chargeback Requested"/>
    <d v="2025-08-01T00:00:00"/>
  </r>
  <r>
    <s v="TX100916"/>
    <d v="2025-07-04T00:00:00"/>
    <s v="AC6735"/>
    <x v="96"/>
    <x v="1"/>
    <n v="68.680000000000007"/>
    <s v="GBP"/>
    <n v="100.96040000000001"/>
    <n v="-529731.13"/>
    <s v="Reliance"/>
    <n v="9861042558"/>
    <s v="reliance@biz.com"/>
    <s v="Travel"/>
    <s v="Hotel"/>
    <s v="UK"/>
    <x v="8"/>
    <n v="765738"/>
    <s v="XXXX-XXXX-8810"/>
    <s v="arjun.nair@hotmail.com"/>
    <n v="3118293873"/>
    <s v="No"/>
    <s v="Chargeback Requested"/>
    <d v="1905-07-12T00:00:00"/>
  </r>
  <r>
    <s v="TX102289"/>
    <d v="2024-04-04T00:00:00"/>
    <s v="AC8424"/>
    <x v="71"/>
    <x v="0"/>
    <n v="-182.52"/>
    <s v="inr"/>
    <n v="1"/>
    <n v="-1271234.6399999999"/>
    <s v="Myntra"/>
    <n v="-9560397742"/>
    <s v="myntra@biz.com"/>
    <s v="Clothing"/>
    <s v="Men"/>
    <s v="Canada"/>
    <x v="7"/>
    <n v="378960"/>
    <m/>
    <s v="isha.mehta@gmail.com"/>
    <n v="9309430299"/>
    <s v="No"/>
    <s v="Chargeback Requested"/>
    <d v="2018-12-15T00:00:00"/>
  </r>
  <r>
    <s v="TX102882"/>
    <d v="2024-02-11T00:00:00"/>
    <s v="AC9323"/>
    <x v="53"/>
    <x v="2"/>
    <n v="15.99"/>
    <s v="AED"/>
    <n v="19.3611"/>
    <n v="-1626977.7"/>
    <s v="BigBasket"/>
    <n v="5046889687"/>
    <s v="bigbasket@biz.com"/>
    <s v="Clothing"/>
    <s v="Women"/>
    <s v="UK"/>
    <x v="4"/>
    <n v="951831"/>
    <s v="XXXX-XXXX-1514"/>
    <s v="amit.roy@example.com"/>
    <n v="-5258289504"/>
    <s v="No"/>
    <s v="Manual Adjustment"/>
    <d v="2025-04-23T00:00:00"/>
  </r>
  <r>
    <s v="TX100427"/>
    <d v="2025-03-03T00:00:00"/>
    <s v="AC8796"/>
    <x v="97"/>
    <x v="2"/>
    <n v="75.430000000000007"/>
    <s v="USD"/>
    <n v="81.687200000000004"/>
    <n v="-258322.12"/>
    <s v="ElectroWorld"/>
    <n v="6310781504"/>
    <s v="electroworld@biz.com"/>
    <s v="Utilities"/>
    <s v="Internet"/>
    <s v="Canada"/>
    <x v="10"/>
    <n v="686184"/>
    <s v="XXXX-XXXX-2110"/>
    <s v="vikram.bose@yahoo.com"/>
    <n v="7629143650"/>
    <s v="No"/>
    <s v="Repeat Purchase"/>
    <d v="2016-10-02T00:00:00"/>
  </r>
  <r>
    <s v="TX103826"/>
    <d v="2023-01-10T00:00:00"/>
    <s v="AC1585"/>
    <x v="60"/>
    <x v="0"/>
    <n v="8.07"/>
    <s v="AED"/>
    <n v="20.910399999999999"/>
    <n v="-2118578.5099999998"/>
    <s v="BigBasket"/>
    <n v="6838102939"/>
    <s v="bigbasket@biz.com"/>
    <s v="Dining"/>
    <s v="Restaurant"/>
    <s v="UK"/>
    <x v="0"/>
    <n v="188514"/>
    <s v="XXXX-XXXX-3560"/>
    <s v="ritu.singh@gmail.com"/>
    <n v="4473056185"/>
    <s v="No"/>
    <s v="Chargeback Requested"/>
    <d v="2017-04-01T00:00:00"/>
  </r>
  <r>
    <s v="TX105969"/>
    <d v="2024-04-10T00:00:00"/>
    <s v="AC9292"/>
    <x v="98"/>
    <x v="0"/>
    <n v="16.27"/>
    <s v="AED"/>
    <n v="18.348099999999999"/>
    <n v="-2935302.24"/>
    <s v="Walmart"/>
    <n v="1906467538"/>
    <s v="walmart@biz.com"/>
    <s v="Clothing"/>
    <s v="Men"/>
    <s v="UK"/>
    <x v="10"/>
    <n v="899289"/>
    <s v="XXXX-XXXX-6971"/>
    <s v="asha.mehta@example.com"/>
    <n v="-2871948450"/>
    <s v="No"/>
    <s v="Promo Applied"/>
    <d v="2021-07-08T00:00:00"/>
  </r>
  <r>
    <s v="TX104866"/>
    <d v="2024-08-04T00:00:00"/>
    <s v="AC1474"/>
    <x v="71"/>
    <x v="2"/>
    <n v="41.64"/>
    <s v="inr"/>
    <n v="1"/>
    <n v="-2581234.5099999998"/>
    <s v="BigBasket"/>
    <n v="1196589456"/>
    <s v="bigbasket@biz.com"/>
    <s v="Entertainment"/>
    <s v="Streaming"/>
    <s v="UK"/>
    <x v="5"/>
    <n v="612295"/>
    <m/>
    <s v="isha.mehta@yahoo.com"/>
    <n v="2351525761"/>
    <s v="No"/>
    <s v="Repeat Purchase"/>
    <d v="1905-07-09T00:00:00"/>
  </r>
  <r>
    <s v="TX100678"/>
    <d v="2024-05-06T00:00:00"/>
    <s v="AC2505"/>
    <x v="99"/>
    <x v="1"/>
    <n v="101.78"/>
    <s v="USD"/>
    <n v="75.451599999999999"/>
    <n v="-436722.13"/>
    <s v="AutoZone"/>
    <n v="4063701408"/>
    <s v="autozone@biz.com"/>
    <s v="Education"/>
    <s v="Course"/>
    <s v="UAE"/>
    <x v="6"/>
    <n v="191"/>
    <s v="XXXX-XXXX-XXXX-9076"/>
    <s v="lin.nir@yahoo.com"/>
    <n v="4049695957"/>
    <s v="No"/>
    <s v="Chargeback Requested"/>
    <d v="2020-09-26T00:00:00"/>
  </r>
  <r>
    <s v="TX101766"/>
    <d v="2024-02-08T00:00:00"/>
    <s v="AC3002"/>
    <x v="100"/>
    <x v="1"/>
    <n v="448.15"/>
    <s v="inr"/>
    <n v="1"/>
    <n v="-1130312.79"/>
    <s v="ShopEasy"/>
    <n v="6778005313"/>
    <s v="shopeasy@biz.com"/>
    <s v="Education"/>
    <s v="Course"/>
    <s v="India"/>
    <x v="1"/>
    <n v="179347"/>
    <s v="XXXX-XXXX-2156"/>
    <s v="arjun.khan@gmail.com"/>
    <n v="6590161133"/>
    <s v="No"/>
    <s v="Suspected Fraud"/>
    <d v="1905-07-16T00:00:00"/>
  </r>
  <r>
    <s v="TX101228"/>
    <d v="2024-12-12T00:00:00"/>
    <s v="AC4663"/>
    <x v="101"/>
    <x v="0"/>
    <n v="105.28"/>
    <s v="USD"/>
    <n v="81.916300000000007"/>
    <n v="-594057.41"/>
    <s v="Myntra"/>
    <n v="-3222095118"/>
    <s v="myntra@biz.com"/>
    <s v="Electronics"/>
    <s v="Laptop"/>
    <s v="Australia"/>
    <x v="6"/>
    <n v="448811"/>
    <s v="XXXX-XXXX-1903"/>
    <s v="isha.bose@example.com"/>
    <n v="1959141296"/>
    <s v="No"/>
    <s v="Manual Adjustment"/>
    <d v="2023-01-20T00:00:00"/>
  </r>
  <r>
    <s v="TX102492"/>
    <d v="2024-02-04T00:00:00"/>
    <s v="AC2256"/>
    <x v="102"/>
    <x v="0"/>
    <n v="18.32"/>
    <s v="inr"/>
    <n v="1"/>
    <n v="-1499757.01"/>
    <s v="ShopEasy"/>
    <n v="8051233045"/>
    <s v="shopeasy@biz.com"/>
    <s v="Education"/>
    <s v="Course"/>
    <s v="UAE"/>
    <x v="4"/>
    <n v="827594"/>
    <m/>
    <s v="ritu.bose@example.com"/>
    <n v="815386480"/>
    <s v="No"/>
    <s v="Repeat Purchase"/>
    <d v="2020-04-01T00:00:00"/>
  </r>
  <r>
    <s v="TX102777"/>
    <d v="2023-10-10T00:00:00"/>
    <s v="AC9612"/>
    <x v="103"/>
    <x v="0"/>
    <n v="24.78"/>
    <s v="USD"/>
    <n v="77.448499999999996"/>
    <n v="-1617390.5"/>
    <s v="Flipkart"/>
    <n v="-4009770519"/>
    <s v="flipkart@biz.com"/>
    <s v="Groceries"/>
    <s v="Specialty"/>
    <s v="Australia"/>
    <x v="0"/>
    <n v="845968"/>
    <s v="XXXX-XXXX-XXXX-6254"/>
    <m/>
    <n v="9861194470"/>
    <s v="No"/>
    <s v="Chargeback Requested"/>
    <d v="2019-06-01T00:00:00"/>
  </r>
  <r>
    <s v="TX100950"/>
    <d v="2025-12-08T00:00:00"/>
    <s v="AC2840"/>
    <x v="43"/>
    <x v="0"/>
    <n v="24.79"/>
    <s v="inr"/>
    <n v="1"/>
    <n v="-537600.75"/>
    <s v="Amazon"/>
    <n v="2342978175"/>
    <s v="amazon@biz.com"/>
    <s v="Automotive"/>
    <s v="Fuel"/>
    <s v="Canada"/>
    <x v="3"/>
    <n v="517429"/>
    <s v="XXXX-XXXX-4181"/>
    <s v="arjun.royhotmail.com"/>
    <n v="4992645225"/>
    <s v="No"/>
    <s v="Chargeback Requested"/>
    <d v="2018-10-05T00:00:00"/>
  </r>
  <r>
    <s v="TX100193"/>
    <d v="2024-11-02T00:00:00"/>
    <s v="AC7302"/>
    <x v="92"/>
    <x v="1"/>
    <n v="7.43"/>
    <s v="AED"/>
    <n v="20.661100000000001"/>
    <n v="-163734.73000000001"/>
    <s v="ShopEasy"/>
    <n v="2965556874"/>
    <s v="shopeasy@biz.com"/>
    <s v="Entertainment"/>
    <s v="Streaming"/>
    <s v="UAE"/>
    <x v="4"/>
    <n v="315370"/>
    <s v="XXXX-XXXX-2783"/>
    <s v="ritu.gupta@gmail.com"/>
    <n v="375716031"/>
    <s v="No"/>
    <s v="Chargeback Requested"/>
    <d v="2016-09-09T00:00:00"/>
  </r>
  <r>
    <s v="TX102343"/>
    <d v="2025-06-06T00:00:00"/>
    <s v="AC9815"/>
    <x v="104"/>
    <x v="1"/>
    <n v="17.62"/>
    <s v="AED"/>
    <n v="18.093800000000002"/>
    <n v="-1284180.1399999999"/>
    <s v="Walmart"/>
    <n v="7540733428"/>
    <s v="walmart@biz.com"/>
    <s v="Electronics"/>
    <s v="Laptop"/>
    <s v="Canada"/>
    <x v="8"/>
    <n v="287501"/>
    <s v="XXXX-XXXX-XXXX-7051"/>
    <s v="sana.desai@example.com"/>
    <n v="-1245438206"/>
    <s v="No"/>
    <s v="Promo Applied"/>
    <d v="2019-08-01T00:00:00"/>
  </r>
  <r>
    <s v="TX104510"/>
    <d v="2025-06-04T00:00:00"/>
    <s v="AC5446"/>
    <x v="12"/>
    <x v="2"/>
    <n v="7.97"/>
    <s v="inr"/>
    <n v="1"/>
    <n v="-2463533.36"/>
    <s v="ElectroWorld"/>
    <n v="8545145288"/>
    <s v="electroworld@biz.com"/>
    <s v="Clothing"/>
    <s v="Men"/>
    <s v="UAE"/>
    <x v="0"/>
    <n v="859592"/>
    <s v="XXXX-XXXX-XXXX-5112"/>
    <s v="maya.gupta@hotmail.com"/>
    <n v="2489713977"/>
    <s v="No"/>
    <s v="Chargeback Requested"/>
    <d v="2025-11-25T00:00:00"/>
  </r>
  <r>
    <s v="TX101602"/>
    <d v="2025-04-08T00:00:00"/>
    <s v="AC1341"/>
    <x v="105"/>
    <x v="1"/>
    <n v="15.25"/>
    <s v="USD"/>
    <n v="79.968599999999995"/>
    <n v="-1008882.16"/>
    <s v="ShopEasy"/>
    <n v="4017857811"/>
    <s v="shopeasy@biz.com"/>
    <s v="Dining"/>
    <s v="FastFood"/>
    <s v="Australia"/>
    <x v="8"/>
    <n v="603155"/>
    <s v="XXXX-XXXX-XXXX-1098"/>
    <s v="raj.desai@hotmail.com"/>
    <n v="556113791"/>
    <s v="No"/>
    <s v="Repeat Purchase"/>
    <d v="2017-03-08T00:00:00"/>
  </r>
  <r>
    <s v="TX103691"/>
    <d v="2025-03-08T00:00:00"/>
    <s v="AC4944"/>
    <x v="106"/>
    <x v="0"/>
    <n v="90.68"/>
    <s v="inr"/>
    <n v="1"/>
    <n v="-1936740.59"/>
    <s v="LocalMart"/>
    <n v="8034508457"/>
    <s v="localmart@biz.com"/>
    <s v="Electronics"/>
    <s v="Accessory"/>
    <s v="USA"/>
    <x v="8"/>
    <n v="151954"/>
    <s v="XXXX-XXXX-XXXX-2789"/>
    <s v="arjun.desai@gmail.com"/>
    <n v="-5633994211"/>
    <s v="No"/>
    <s v="Repeat Purchase"/>
    <d v="1905-07-12T00:00:00"/>
  </r>
  <r>
    <s v="TX100315"/>
    <d v="2024-02-10T00:00:00"/>
    <s v="AC8130"/>
    <x v="89"/>
    <x v="1"/>
    <n v="33.96"/>
    <s v="USD"/>
    <n v="82.385000000000005"/>
    <n v="-175447.9"/>
    <s v="Amazon"/>
    <n v="2965556874"/>
    <s v="amazon@biz.com"/>
    <s v="Clothing"/>
    <s v="Women"/>
    <s v="India"/>
    <x v="3"/>
    <n v="372014"/>
    <s v="XXXX-XXXX-1663"/>
    <s v="priya.sharma@example.com"/>
    <n v="7150763714"/>
    <s v="No"/>
    <s v="Chargeback Requested"/>
    <d v="1905-07-08T00:00:00"/>
  </r>
  <r>
    <s v="TX105904"/>
    <d v="2025-04-08T00:00:00"/>
    <s v="AC7889"/>
    <x v="107"/>
    <x v="0"/>
    <n v="11.33"/>
    <s v="inr"/>
    <n v="1"/>
    <n v="-2922735.2"/>
    <s v="Myntra"/>
    <n v="3796619997"/>
    <s v="myntra@biz.com"/>
    <s v="Entertainment"/>
    <s v="Movies"/>
    <s v="Australia"/>
    <x v="7"/>
    <n v="263272"/>
    <s v="XXXX-XXXX-XXXX-2398"/>
    <s v="isha.joshi@gmail.com"/>
    <n v="864595676"/>
    <s v="No"/>
    <s v="Monthly Subscription"/>
    <d v="1905-07-12T00:00:00"/>
  </r>
  <r>
    <s v="TX104795"/>
    <d v="2025-03-04T00:00:00"/>
    <s v="AC2298"/>
    <x v="108"/>
    <x v="0"/>
    <n v="7.27"/>
    <s v="inr"/>
    <n v="1"/>
    <n v="-2538940.36"/>
    <s v="ShopEasy"/>
    <n v="-1883308155"/>
    <s v="shopeasy@biz.com"/>
    <s v="Education"/>
    <s v="Books"/>
    <s v="Australia"/>
    <x v="8"/>
    <n v="238451"/>
    <s v="XXXX-XXXX-5286"/>
    <s v="uma.nair@example.com"/>
    <n v="-8682256924"/>
    <s v="No"/>
    <s v="Promo Applied"/>
    <d v="1905-07-16T00:00:00"/>
  </r>
  <r>
    <s v="TX105979"/>
    <d v="2023-05-11T00:00:00"/>
    <s v="AC6285"/>
    <x v="24"/>
    <x v="1"/>
    <n v="59.36"/>
    <s v="inr"/>
    <n v="1"/>
    <n v="-2935654.31"/>
    <s v="Amazon"/>
    <n v="9759670967"/>
    <s v="amazon@biz.com"/>
    <s v="Automotive"/>
    <s v="Fuel"/>
    <s v="USA"/>
    <x v="5"/>
    <n v="896655"/>
    <s v="XXXX-XXXX-6742"/>
    <s v="asha.desai@hotmail.com"/>
    <n v="4165950433"/>
    <s v="No"/>
    <s v="Monthly Subscription"/>
    <d v="1905-07-07T00:00:00"/>
  </r>
  <r>
    <s v="TX102034"/>
    <d v="2025-08-01T00:00:00"/>
    <s v="AC9240"/>
    <x v="109"/>
    <x v="2"/>
    <n v="-118.19"/>
    <s v="USD"/>
    <n v="75.153300000000002"/>
    <n v="-1198296.58"/>
    <s v="Zomato"/>
    <n v="-6233747945"/>
    <s v="zomato@biz.com"/>
    <s v="Entertainment"/>
    <s v="Movies"/>
    <s v="UK"/>
    <x v="6"/>
    <n v="294914"/>
    <s v="XXXX-XXXX-2399"/>
    <s v="uma.das@hotmail.com"/>
    <n v="5505678449"/>
    <s v="No"/>
    <s v="Suspected Fraud"/>
    <d v="1905-07-09T00:00:00"/>
  </r>
  <r>
    <s v="TX100731"/>
    <d v="2024-07-01T00:00:00"/>
    <s v="AC1587"/>
    <x v="110"/>
    <x v="1"/>
    <n v="10.24"/>
    <s v="USD"/>
    <n v="80.042100000000005"/>
    <n v="-441458.75"/>
    <s v="LocalMart"/>
    <n v="3172828875"/>
    <s v="localmart@biz.com"/>
    <s v="Groceries"/>
    <s v="Specialty"/>
    <s v="USA"/>
    <x v="6"/>
    <n v="954907"/>
    <s v="XXXX-XXXX-9336"/>
    <s v="sam.desai@gmail.com"/>
    <n v="2487553495"/>
    <s v="No"/>
    <s v="Suspected Fraud"/>
    <d v="2022-06-02T00:00:00"/>
  </r>
  <r>
    <s v="TX105029"/>
    <d v="2024-12-11T00:00:00"/>
    <s v="AC7739"/>
    <x v="111"/>
    <x v="0"/>
    <n v="33.700000000000003"/>
    <s v="USD"/>
    <n v="74.457499999999996"/>
    <n v="-2625213.13"/>
    <s v="LocalMart"/>
    <n v="3337245332"/>
    <s v="localmart@biz.com"/>
    <s v="Clothing"/>
    <s v="Men"/>
    <s v="India"/>
    <x v="0"/>
    <n v="220638"/>
    <n v="4674450000000000"/>
    <s v="rahul.desai@example.com"/>
    <n v="8447133376"/>
    <s v="No"/>
    <s v="Chargeback Requested"/>
    <d v="2022-12-04T00:00:00"/>
  </r>
  <r>
    <s v="TX105124"/>
    <d v="2023-03-12T00:00:00"/>
    <s v="AC2573"/>
    <x v="97"/>
    <x v="0"/>
    <n v="-75.72"/>
    <s v="GBP"/>
    <n v="97.957599999999999"/>
    <n v="-2677864.92"/>
    <s v="Amazon"/>
    <n v="9431003025"/>
    <s v="amazon@biz.com"/>
    <s v="Entertainment"/>
    <s v="Concert"/>
    <s v="Australia"/>
    <x v="8"/>
    <n v="400303"/>
    <s v="XXXX-XXXX-8036"/>
    <s v="vikram.bose@example.com"/>
    <n v="819714338"/>
    <s v="No"/>
    <s v="Promo Applied"/>
    <d v="2017-10-26T00:00:00"/>
  </r>
  <r>
    <s v="TX103274"/>
    <d v="2025-10-06T00:00:00"/>
    <s v="AC8779"/>
    <x v="81"/>
    <x v="1"/>
    <n v="11.03"/>
    <s v="USD"/>
    <n v="80.263999999999996"/>
    <n v="-1774643.37"/>
    <s v="ElectroWorld"/>
    <n v="574762924"/>
    <s v="electroworld@biz.com"/>
    <s v="Travel"/>
    <s v="Hotel"/>
    <s v="UK"/>
    <x v="10"/>
    <n v="208207"/>
    <n v="4005040000000000"/>
    <s v="neha.das@gmail.com"/>
    <n v="-3483208629"/>
    <s v="No"/>
    <s v="Manual Adjustment"/>
    <d v="2015-09-28T00:00:00"/>
  </r>
  <r>
    <s v="TX102866"/>
    <d v="2023-04-10T00:00:00"/>
    <s v="AC4407"/>
    <x v="71"/>
    <x v="1"/>
    <n v="12.11"/>
    <s v="USD"/>
    <n v="77.552300000000002"/>
    <n v="-1626767.17"/>
    <s v="Zomato"/>
    <n v="5823851638"/>
    <s v="zomato@biz.com"/>
    <s v="Electronics"/>
    <s v="Laptop"/>
    <s v="UAE"/>
    <x v="7"/>
    <n v="643778"/>
    <s v="XXXX-XXXX-8352"/>
    <s v="isha.mehta@example.com"/>
    <n v="591721860"/>
    <s v="No"/>
    <s v="Manual Adjustment"/>
    <d v="2018-07-10T00:00:00"/>
  </r>
  <r>
    <s v="TX102801"/>
    <d v="2024-01-10T00:00:00"/>
    <s v="AC9886"/>
    <x v="112"/>
    <x v="1"/>
    <n v="838.52"/>
    <s v="USD"/>
    <n v="74.0792"/>
    <n v="-1624670.35"/>
    <s v="Myntra"/>
    <n v="4252197053"/>
    <s v="myntra@biz.com"/>
    <s v="Dining"/>
    <s v="Cafe"/>
    <s v="UK"/>
    <x v="4"/>
    <n v="823367"/>
    <m/>
    <s v="neha.chopra@example.com"/>
    <n v="7522766909"/>
    <s v="No"/>
    <s v="Chargeback Requested"/>
    <d v="2022-09-01T00:00:00"/>
  </r>
  <r>
    <s v="TX104738"/>
    <d v="2024-09-07T00:00:00"/>
    <s v="AC5501"/>
    <x v="113"/>
    <x v="1"/>
    <n v="6.44"/>
    <s v="USD"/>
    <n v="78.463200000000001"/>
    <n v="-2514489.2799999998"/>
    <s v="Myntra"/>
    <n v="2597454993"/>
    <s v="myntra@biz.com"/>
    <s v="Clothing"/>
    <s v="Women"/>
    <s v="Canada"/>
    <x v="2"/>
    <n v="177939"/>
    <s v="XXXX-XXXX-6693"/>
    <s v="sana.reddy@gmail.com"/>
    <n v="939664735"/>
    <s v="No"/>
    <s v="Chargeback Requested"/>
    <d v="2022-09-01T00:00:00"/>
  </r>
  <r>
    <s v="TX101985"/>
    <d v="2024-09-01T00:00:00"/>
    <s v="AC6931"/>
    <x v="3"/>
    <x v="1"/>
    <n v="61.3"/>
    <s v="USD"/>
    <n v="79.924800000000005"/>
    <n v="-1197747.3600000001"/>
    <s v="Myntra"/>
    <n v="-4123356991"/>
    <s v="myntra@biz.com"/>
    <s v="Entertainment"/>
    <s v="Concert"/>
    <s v="Canada"/>
    <x v="1"/>
    <n v="273957"/>
    <s v="XXXX-XXXX-XXXX-2631"/>
    <s v="sana.kumar@example.com"/>
    <n v="5598153318"/>
    <s v="No"/>
    <s v="Suspected Fraud"/>
    <d v="2024-05-01T00:00:00"/>
  </r>
  <r>
    <s v="TX104126"/>
    <d v="2025-03-07T00:00:00"/>
    <s v="AC2586"/>
    <x v="67"/>
    <x v="1"/>
    <n v="11.51"/>
    <s v="USD"/>
    <n v="73.175700000000006"/>
    <n v="-2235815.7799999998"/>
    <s v="Swiggy"/>
    <n v="6382782123"/>
    <s v="swiggy@biz.com"/>
    <s v="Electronics"/>
    <s v="Accessory"/>
    <s v="UAE"/>
    <x v="3"/>
    <n v="186539"/>
    <n v="4593110000000000"/>
    <s v="rohit.khan@yahoo.com"/>
    <n v="4295193256"/>
    <s v="No"/>
    <s v="Chargeback Requested"/>
    <d v="2015-10-19T00:00:00"/>
  </r>
  <r>
    <s v="TX102850"/>
    <d v="2023-11-11T00:00:00"/>
    <s v="AC8463"/>
    <x v="96"/>
    <x v="1"/>
    <n v="17.149999999999999"/>
    <s v="inr"/>
    <n v="1"/>
    <n v="-1626407.49"/>
    <s v="LocalMart"/>
    <n v="4532127538"/>
    <s v="localmart@biz.com"/>
    <s v="Clothing"/>
    <s v="Men"/>
    <s v="India"/>
    <x v="7"/>
    <n v="258126"/>
    <s v="XXXX-XXXX-XXXX-4390"/>
    <s v="arjun.nair@gmail.com"/>
    <n v="6571465870"/>
    <s v="No"/>
    <s v="Cashback Credited"/>
    <d v="2018-05-05T00:00:00"/>
  </r>
  <r>
    <s v="TX100841"/>
    <d v="2025-02-02T00:00:00"/>
    <s v="AC3771"/>
    <x v="114"/>
    <x v="2"/>
    <n v="74.42"/>
    <s v="inr"/>
    <n v="1"/>
    <n v="-481268.55"/>
    <s v="ElectroWorld"/>
    <n v="860915772"/>
    <s v="electroworld@biz.com"/>
    <s v="Dining"/>
    <s v="Cafe"/>
    <s v="UK"/>
    <x v="5"/>
    <n v="615708"/>
    <m/>
    <s v="dev.sharma@yahoo.com"/>
    <n v="1822213060"/>
    <s v="No"/>
    <s v="Monthly Subscription"/>
    <d v="2024-11-26T00:00:00"/>
  </r>
  <r>
    <s v="TX100131"/>
    <d v="2023-06-12T00:00:00"/>
    <s v="AC2940"/>
    <x v="115"/>
    <x v="1"/>
    <n v="35.96"/>
    <s v="USD"/>
    <n v="80.382400000000004"/>
    <n v="-155363.71"/>
    <s v="Reliance"/>
    <n v="1697949367"/>
    <s v="reliance@biz.com"/>
    <s v="Utilities"/>
    <s v="Electricity"/>
    <s v="India"/>
    <x v="3"/>
    <n v="607288"/>
    <s v="XXXX-XXXX-8808"/>
    <s v="sana.gupta@yahoocom"/>
    <n v="1501999484"/>
    <s v="No"/>
    <s v="Cashback Credited"/>
    <d v="2018-04-01T00:00:00"/>
  </r>
  <r>
    <s v="TX104920"/>
    <d v="2024-07-01T00:00:00"/>
    <s v="AC4098"/>
    <x v="116"/>
    <x v="0"/>
    <n v="-243.83"/>
    <s v="GBP"/>
    <n v="100.2731"/>
    <n v="-2583069.36"/>
    <s v="AutoZone"/>
    <n v="9292638801"/>
    <s v="autozone@biz.com"/>
    <s v="Education"/>
    <s v="Course"/>
    <s v="Australia"/>
    <x v="1"/>
    <n v="152931"/>
    <s v="XXXX-XXXX-XXXX-3266"/>
    <s v="priya.joshi@gmail.com"/>
    <n v="9114210952"/>
    <s v="No"/>
    <s v="Cashback Credited"/>
    <d v="2024-01-16T00:00:00"/>
  </r>
  <r>
    <s v="TX105526"/>
    <d v="2025-06-02T00:00:00"/>
    <s v="AC1449"/>
    <x v="117"/>
    <x v="1"/>
    <n v="-126.77"/>
    <s v="inr"/>
    <n v="1"/>
    <n v="-2866446.93"/>
    <s v="Paytm Mall"/>
    <n v="8087611676"/>
    <s v="paytmmall@biz.com"/>
    <s v="Utilities"/>
    <s v="Internet"/>
    <s v="Australia"/>
    <x v="0"/>
    <n v="933027"/>
    <s v="XXXX-XXXX-XXXX-2030"/>
    <s v="dev.guptahotmail.com"/>
    <n v="7202071048"/>
    <s v="No"/>
    <s v="Manual Adjustment"/>
    <d v="2024-04-01T00:00:00"/>
  </r>
  <r>
    <s v="TX104096"/>
    <d v="2025-02-01T00:00:00"/>
    <s v="AC5068"/>
    <x v="118"/>
    <x v="0"/>
    <n v="67.67"/>
    <s v="USD"/>
    <n v="73.830600000000004"/>
    <n v="-2232265.94"/>
    <s v="LocalMart"/>
    <n v="3688758054"/>
    <s v="localmart@biz.com"/>
    <s v="Groceries"/>
    <s v="Supermarket"/>
    <s v="Canada"/>
    <x v="4"/>
    <n v="280428"/>
    <s v="XXXX-XXXX-XXXX-3126"/>
    <s v="isha.khan@gmail.com"/>
    <n v="2453198172"/>
    <s v="No"/>
    <s v="Promo Applied"/>
    <d v="2020-01-29T00:00:00"/>
  </r>
  <r>
    <s v="TX102141"/>
    <d v="2024-01-08T00:00:00"/>
    <s v="AC9493"/>
    <x v="98"/>
    <x v="0"/>
    <n v="35.200000000000003"/>
    <s v="AED"/>
    <n v="20.8904"/>
    <n v="-1214521.1599999999"/>
    <s v="Swiggy"/>
    <n v="3088364149"/>
    <s v="swiggy@biz.com"/>
    <s v="Education"/>
    <s v="Books"/>
    <s v="UAE"/>
    <x v="8"/>
    <n v="887"/>
    <s v="XXXX-XXXX-8571"/>
    <s v="asha.mehta@hotmail.com"/>
    <n v="8879380824"/>
    <s v="No"/>
    <s v="Monthly Subscription"/>
    <d v="2020-01-01T00:00:00"/>
  </r>
  <r>
    <s v="TX100588"/>
    <d v="2025-08-01T00:00:00"/>
    <s v="AC9606"/>
    <x v="119"/>
    <x v="1"/>
    <n v="-89.69"/>
    <s v="USD"/>
    <n v="81.259900000000002"/>
    <n v="-279945.03999999998"/>
    <s v="LocalMart"/>
    <n v="6290367996"/>
    <s v="localmart@biz.com"/>
    <s v="Automotive"/>
    <s v="Repair"/>
    <s v="India"/>
    <x v="4"/>
    <n v="752335"/>
    <n v="4703290000000000"/>
    <s v="neha.bose@example.com"/>
    <n v="-5168887730"/>
    <s v="No"/>
    <s v="Cashback Credited"/>
    <d v="2025-04-11T00:00:00"/>
  </r>
  <r>
    <s v="TX102453"/>
    <d v="2025-06-08T00:00:00"/>
    <s v="AC2652"/>
    <x v="120"/>
    <x v="1"/>
    <n v="14.03"/>
    <s v="USD"/>
    <n v="79.936599999999999"/>
    <n v="-1435813.85"/>
    <s v="Paytm Mall"/>
    <n v="2086167332"/>
    <s v="paytmmall@biz.com"/>
    <s v="Automotive"/>
    <s v="Repair"/>
    <s v="Canada"/>
    <x v="3"/>
    <n v="610478"/>
    <s v="XXXX-XXXX-3404"/>
    <s v="neha.desai@yahoo.com"/>
    <n v="926531950"/>
    <s v="No"/>
    <s v="Chargeback Requested"/>
    <d v="2022-05-16T00:00:00"/>
  </r>
  <r>
    <s v="TX101984"/>
    <d v="2025-02-09T00:00:00"/>
    <s v="AC7053"/>
    <x v="121"/>
    <x v="2"/>
    <n v="103.93"/>
    <s v="USD"/>
    <n v="75.616200000000006"/>
    <n v="-1197716.71"/>
    <s v="LocalMart"/>
    <n v="-6327592255"/>
    <s v="localmart@biz.com"/>
    <s v="Electronics"/>
    <s v="Laptop"/>
    <s v="India"/>
    <x v="0"/>
    <n v="535330"/>
    <s v="XXXX-XXXX-XXXX-2099"/>
    <s v="ritu.reddy@gmail.com"/>
    <n v="7522467593"/>
    <s v="No"/>
    <s v="Chargeback Requested"/>
    <d v="2015-12-01T00:00:00"/>
  </r>
  <r>
    <s v="TX102739"/>
    <d v="2024-02-12T00:00:00"/>
    <s v="AC9812"/>
    <x v="34"/>
    <x v="2"/>
    <n v="92.27"/>
    <s v="inr"/>
    <n v="1"/>
    <n v="-1604972.52"/>
    <s v="BigBasket"/>
    <n v="2138778168"/>
    <s v="bigbasket@biz.com"/>
    <s v="Utilities"/>
    <s v="Electricity"/>
    <s v="Canada"/>
    <x v="2"/>
    <n v="820186"/>
    <s v="XXXX-XXXX-2253"/>
    <s v="rohit.kumar@hotmail.com"/>
    <n v="1959290077"/>
    <s v="No"/>
    <s v="Suspected Fraud"/>
    <d v="2019-10-01T00:00:00"/>
  </r>
  <r>
    <s v="TX100486"/>
    <d v="2025-11-02T00:00:00"/>
    <s v="AC8202"/>
    <x v="72"/>
    <x v="0"/>
    <n v="15.24"/>
    <s v="inr"/>
    <n v="1"/>
    <n v="-260082.64"/>
    <s v="Myntra"/>
    <n v="9111622381"/>
    <s v="myntra@biz.com"/>
    <s v="Dining"/>
    <s v="Cafe"/>
    <s v="India"/>
    <x v="4"/>
    <n v="386601"/>
    <s v="XXXX-XXXX-4864"/>
    <s v="neha.nair@hotmail.com"/>
    <n v="-9681303802"/>
    <s v="No"/>
    <s v="Suspected Fraud"/>
    <d v="2016-07-10T00:00:00"/>
  </r>
  <r>
    <s v="TX103223"/>
    <d v="2024-03-07T00:00:00"/>
    <s v="AC9426"/>
    <x v="122"/>
    <x v="0"/>
    <n v="76.27"/>
    <s v="USD"/>
    <n v="80.452399999999997"/>
    <n v="-1714130.55"/>
    <s v="Amazon"/>
    <n v="-1952508275"/>
    <s v="amazon@biz.com"/>
    <s v="Utilities"/>
    <s v="Electricity"/>
    <s v="Australia"/>
    <x v="8"/>
    <n v="789526"/>
    <s v="XXXX-XXXX-9249"/>
    <s v="raj.das@gmailcom"/>
    <n v="6042351578"/>
    <s v="No"/>
    <s v="Monthly Subscription"/>
    <d v="2020-08-08T00:00:00"/>
  </r>
  <r>
    <s v="TX101143"/>
    <d v="2023-06-12T00:00:00"/>
    <s v="AC7507"/>
    <x v="123"/>
    <x v="1"/>
    <n v="38.5"/>
    <s v="USD"/>
    <n v="79.745099999999994"/>
    <n v="-556645.03"/>
    <s v="BigBasket"/>
    <n v="1566846065"/>
    <s v="bigbasket@biz.com"/>
    <s v="Entertainment"/>
    <s v="Movies"/>
    <s v="Australia"/>
    <x v="5"/>
    <n v="882612"/>
    <s v="XXXX-XXXX-XXXX-9717"/>
    <s v="raj.khan@gmail.com"/>
    <n v="1687596817"/>
    <s v="No"/>
    <s v="Promo Applied"/>
    <d v="2018-11-29T00:00:00"/>
  </r>
  <r>
    <s v="TX100267"/>
    <d v="2023-05-12T00:00:00"/>
    <s v="AC1818"/>
    <x v="124"/>
    <x v="1"/>
    <n v="5.95"/>
    <s v="GBP"/>
    <n v="98.577699999999993"/>
    <n v="-174204.36"/>
    <s v="Myntra"/>
    <n v="6881851871"/>
    <s v="myntra@biz.com"/>
    <s v="Automotive"/>
    <s v="Repair"/>
    <s v="USA"/>
    <x v="6"/>
    <n v="831852"/>
    <s v="XXXX-XXXX-8618"/>
    <s v="dev.reddy@gmail.com"/>
    <n v="6023022975"/>
    <s v="No"/>
    <s v="Chargeback Requested"/>
    <d v="1905-07-10T00:00:00"/>
  </r>
  <r>
    <s v="TX105950"/>
    <d v="2025-10-05T00:00:00"/>
    <s v="AC4142"/>
    <x v="125"/>
    <x v="2"/>
    <n v="39.01"/>
    <s v="USD"/>
    <n v="81.0381"/>
    <n v="-2934414.52"/>
    <s v="Swiggy"/>
    <n v="-9531260042"/>
    <s v="swiggy@biz.com"/>
    <s v="Travel"/>
    <s v="Flight"/>
    <s v="UK"/>
    <x v="8"/>
    <n v="887875"/>
    <s v="XXXX-XXXX-3086"/>
    <s v="lina.gupta@example.com"/>
    <n v="2010029848"/>
    <s v="No"/>
    <s v="Repeat Purchase"/>
    <d v="2018-06-20T00:00:00"/>
  </r>
  <r>
    <s v="TX100051"/>
    <d v="2025-07-02T00:00:00"/>
    <s v="AC1024"/>
    <x v="7"/>
    <x v="2"/>
    <n v="20.86"/>
    <s v="AED"/>
    <n v="20.058299999999999"/>
    <n v="-143871.70000000001"/>
    <s v="ShopEasy"/>
    <n v="6847761000"/>
    <s v="shopeasy@biz.com"/>
    <s v="Health"/>
    <s v="Pharmacy"/>
    <s v="UAE"/>
    <x v="10"/>
    <n v="890303"/>
    <s v="XXXX-XXXX-5787"/>
    <s v="sam.khan@yahoo.com"/>
    <n v="5446686693"/>
    <s v="No"/>
    <s v="Suspected Fraud"/>
    <d v="2015-08-01T00:00:00"/>
  </r>
  <r>
    <s v="TX104936"/>
    <d v="2024-02-08T00:00:00"/>
    <s v="AC4141"/>
    <x v="65"/>
    <x v="0"/>
    <n v="33.24"/>
    <s v="AED"/>
    <n v="18.367599999999999"/>
    <n v="-2592449.7400000002"/>
    <s v="Reliance"/>
    <n v="3677174157"/>
    <s v="reliance@biz.com"/>
    <s v="Electronics"/>
    <s v="Accessory"/>
    <s v="Canada"/>
    <x v="2"/>
    <n v="788222"/>
    <s v="XXXX-XXXX-6800"/>
    <s v="karan.joshi@example.com"/>
    <n v="274626509"/>
    <s v="No"/>
    <s v="Chargeback Requested"/>
    <d v="2023-07-19T00:00:00"/>
  </r>
  <r>
    <s v="TX104623"/>
    <d v="2023-12-10T00:00:00"/>
    <s v="AC1424"/>
    <x v="111"/>
    <x v="1"/>
    <n v="83.61"/>
    <s v="USD"/>
    <n v="75.276300000000006"/>
    <n v="-2466621.7200000002"/>
    <s v="Paytm Mall"/>
    <n v="8846692004"/>
    <s v="paytmmall@biz.com"/>
    <s v="Clothing"/>
    <s v="Women"/>
    <s v="Canada"/>
    <x v="1"/>
    <n v="511403"/>
    <s v="XXXX-XXXX-5888"/>
    <s v="rahul.desai@yahoo.com"/>
    <n v="-6182601671"/>
    <s v="No"/>
    <s v="Manual Adjustment"/>
    <d v="2017-01-19T00:00:00"/>
  </r>
  <r>
    <s v="TX100350"/>
    <d v="2025-04-08T00:00:00"/>
    <s v="AC9292"/>
    <x v="126"/>
    <x v="1"/>
    <n v="-48.09"/>
    <s v="USD"/>
    <n v="75.253299999999996"/>
    <n v="-188918.06"/>
    <s v="Starbucks"/>
    <n v="-2567103896"/>
    <s v="starbucks@biz.com"/>
    <s v="Automotive"/>
    <s v="Fuel"/>
    <s v="USA"/>
    <x v="10"/>
    <n v="145775"/>
    <s v="XXXX-XXXX-XXXX-1220"/>
    <s v="dev.joshi@hotmail.com"/>
    <n v="5541393573"/>
    <s v="No"/>
    <s v="Monthly Subscription"/>
    <d v="2017-07-09T00:00:00"/>
  </r>
  <r>
    <s v="TX104724"/>
    <d v="2024-12-10T00:00:00"/>
    <s v="AC6069"/>
    <x v="127"/>
    <x v="2"/>
    <n v="-30.05"/>
    <s v="inr"/>
    <n v="1"/>
    <n v="-2514173.36"/>
    <s v="Reliance"/>
    <n v="6138575327"/>
    <s v="reliance@biz.com"/>
    <s v="Utilities"/>
    <s v="Internet"/>
    <s v="India"/>
    <x v="7"/>
    <n v="939057"/>
    <s v="XXXX-XXXX-3633"/>
    <s v="sam.das@hotmail.com"/>
    <n v="2845434825"/>
    <s v="No"/>
    <s v="Suspected Fraud"/>
    <d v="2018-08-19T00:00:00"/>
  </r>
  <r>
    <s v="TX105648"/>
    <d v="2024-12-07T00:00:00"/>
    <s v="AC6409"/>
    <x v="128"/>
    <x v="0"/>
    <n v="188.17"/>
    <s v="inr"/>
    <n v="1"/>
    <n v="-2873845.32"/>
    <s v="LocalMart"/>
    <n v="9943420534"/>
    <s v="localmart@biz.com"/>
    <s v="Groceries"/>
    <s v="Supermarket"/>
    <s v="India"/>
    <x v="0"/>
    <n v="748415"/>
    <s v="XXXX-XXXX-2462"/>
    <s v="vikram.roy@yahoo.com"/>
    <n v="204310666"/>
    <s v="No"/>
    <s v="Cashback Credited"/>
    <d v="1905-07-09T00:00:00"/>
  </r>
  <r>
    <s v="TX105229"/>
    <d v="2025-10-03T00:00:00"/>
    <s v="AC2736"/>
    <x v="129"/>
    <x v="1"/>
    <n v="104.53"/>
    <s v="USD"/>
    <n v="81.9542"/>
    <n v="-2681723.0299999998"/>
    <s v="Myntra"/>
    <n v="8234648114"/>
    <s v="myntra@biz.com"/>
    <s v="Health"/>
    <s v="Clinic"/>
    <s v="UK"/>
    <x v="7"/>
    <n v="729290"/>
    <s v="XXXX-XXXX-2050"/>
    <s v="suresh.kumar@gmail.com"/>
    <n v="9285035915"/>
    <s v="No"/>
    <s v="Monthly Subscription"/>
    <d v="2016-05-23T00:00:00"/>
  </r>
  <r>
    <s v="TX105589"/>
    <d v="2024-11-06T00:00:00"/>
    <s v="AC6495"/>
    <x v="130"/>
    <x v="2"/>
    <n v="210.27"/>
    <s v="inr"/>
    <n v="1"/>
    <n v="-2868846.32"/>
    <s v="AutoZone"/>
    <n v="-1374794046"/>
    <s v="autozone@biz.com"/>
    <s v="Groceries"/>
    <s v="Specialty"/>
    <s v="UK"/>
    <x v="1"/>
    <n v="712068"/>
    <s v="XXXX-XXXX-XXXX-3496"/>
    <s v="vikram.iyer@yahoo.com"/>
    <n v="9543843482"/>
    <s v="No"/>
    <s v="Cashback Credited"/>
    <d v="2023-06-06T00:00:00"/>
  </r>
  <r>
    <s v="TX101012"/>
    <d v="2024-03-07T00:00:00"/>
    <s v="AC6826"/>
    <x v="62"/>
    <x v="0"/>
    <n v="399.54"/>
    <s v="GBP"/>
    <n v="90.566699999999997"/>
    <n v="-541202.72"/>
    <s v="LocalMart"/>
    <n v="-9880204429"/>
    <s v="localmart@biz.com"/>
    <s v="Groceries"/>
    <s v="Supermarket"/>
    <s v="UK"/>
    <x v="10"/>
    <n v="307476"/>
    <s v="XXXX-XXXX-2170"/>
    <s v="isha.patel@hotmail.com"/>
    <n v="3260319717"/>
    <s v="No"/>
    <s v="Cashback Credited"/>
    <d v="1905-07-09T00:00:00"/>
  </r>
  <r>
    <s v="TX101831"/>
    <d v="2025-07-02T00:00:00"/>
    <s v="AC6280"/>
    <x v="17"/>
    <x v="0"/>
    <n v="43.81"/>
    <s v="GBP"/>
    <n v="98.8583"/>
    <n v="-1131744.1499999999"/>
    <s v="Reliance"/>
    <n v="8834351754"/>
    <s v="reliance@biz.com"/>
    <s v="Automotive"/>
    <s v="Fuel"/>
    <s v="India"/>
    <x v="8"/>
    <n v="749194"/>
    <s v="XXXX-XXXX-XXXX-6183"/>
    <m/>
    <n v="4219169832"/>
    <s v="No"/>
    <s v="Chargeback Requested"/>
    <d v="1905-07-12T00:00:00"/>
  </r>
  <r>
    <s v="TX101557"/>
    <d v="2025-10-02T00:00:00"/>
    <s v="AC3975"/>
    <x v="131"/>
    <x v="2"/>
    <n v="-12.63"/>
    <s v="inr"/>
    <n v="1"/>
    <n v="-1000957.28"/>
    <s v="Flipkart"/>
    <n v="5274136503"/>
    <s v="flipkart@biz.com"/>
    <s v="Groceries"/>
    <s v="Specialty"/>
    <s v="UAE"/>
    <x v="10"/>
    <n v="845023"/>
    <s v="XXXX-XXXX-6285"/>
    <s v="karan.roy@example.com"/>
    <n v="6083229848"/>
    <s v="No"/>
    <s v="Repeat Purchase"/>
    <d v="2017-01-08T00:00:00"/>
  </r>
  <r>
    <s v="TX103526"/>
    <d v="2024-07-04T00:00:00"/>
    <s v="AC2355"/>
    <x v="132"/>
    <x v="0"/>
    <n v="26.11"/>
    <s v="USD"/>
    <n v="72.367599999999996"/>
    <n v="-1887005.8"/>
    <s v="Zomato"/>
    <n v="4174328348"/>
    <s v="zomato@biz.com"/>
    <s v="Dining"/>
    <s v="Cafe"/>
    <s v="India"/>
    <x v="7"/>
    <n v="135993"/>
    <m/>
    <m/>
    <n v="604421491"/>
    <s v="No"/>
    <s v="Suspected Fraud"/>
    <d v="1905-07-15T00:00:00"/>
  </r>
  <r>
    <s v="TX102904"/>
    <d v="2025-09-09T00:00:00"/>
    <s v="AC3855"/>
    <x v="92"/>
    <x v="0"/>
    <n v="5.36"/>
    <s v="USD"/>
    <n v="72.559399999999997"/>
    <n v="-1639753.53"/>
    <s v="Walmart"/>
    <n v="-3288683243"/>
    <s v="walmart@biz.com"/>
    <s v="Education"/>
    <s v="Books"/>
    <s v="Australia"/>
    <x v="0"/>
    <n v="804957"/>
    <m/>
    <s v="ritu.gupta@hotmail.com"/>
    <n v="7147805024"/>
    <s v="No"/>
    <s v="Suspected Fraud"/>
    <d v="2021-12-01T00:00:00"/>
  </r>
  <r>
    <s v="TX102012"/>
    <d v="2025-09-01T00:00:00"/>
    <s v="AC3951"/>
    <x v="76"/>
    <x v="0"/>
    <n v="13.16"/>
    <s v="AED"/>
    <n v="18.6615"/>
    <n v="-1198178.1299999999"/>
    <s v="Starbucks"/>
    <n v="1607879169"/>
    <s v="starbucks@biz.com"/>
    <s v="Travel"/>
    <s v="Hotel"/>
    <s v="UAE"/>
    <x v="1"/>
    <n v="499050"/>
    <s v="XXXX-XXXX-XXXX-9867"/>
    <s v="arjun.sharma@example.com"/>
    <n v="3226007796"/>
    <s v="No"/>
    <s v="Monthly Subscription"/>
    <d v="2023-05-09T00:00:00"/>
  </r>
  <r>
    <s v="TX105353"/>
    <d v="2024-12-07T00:00:00"/>
    <s v="AC8217"/>
    <x v="133"/>
    <x v="0"/>
    <n v="133.58000000000001"/>
    <s v="AED"/>
    <n v="19.943300000000001"/>
    <n v="-2774172.2"/>
    <s v="Myntra"/>
    <n v="3630283264"/>
    <s v="myntra@biz.com"/>
    <s v="Clothing"/>
    <s v="Women"/>
    <s v="India"/>
    <x v="3"/>
    <n v="514751"/>
    <s v="XXXX-XXXX-XXXX-1057"/>
    <s v="ritu.desai@yahoo.com"/>
    <n v="2700728677"/>
    <s v="No"/>
    <s v="Chargeback Requested"/>
    <d v="1905-07-16T00:00:00"/>
  </r>
  <r>
    <s v="TX101074"/>
    <d v="2024-12-10T00:00:00"/>
    <s v="AC2713"/>
    <x v="45"/>
    <x v="1"/>
    <n v="109.46"/>
    <s v="USD "/>
    <n v="72.361099999999993"/>
    <n v="-553947.62"/>
    <s v="Paytm Mall"/>
    <n v="5506671727"/>
    <s v="paytmmall@biz.com"/>
    <s v="Groceries"/>
    <s v="Supermarket"/>
    <s v="Canada"/>
    <x v="2"/>
    <n v="178"/>
    <s v="XXXX-XXXX-XXXX-9391"/>
    <s v="amit.iyer@hotmail.com"/>
    <n v="2652306543"/>
    <s v="No"/>
    <s v="Suspected Fraud"/>
    <d v="1905-07-15T00:00:00"/>
  </r>
  <r>
    <s v="TX100513"/>
    <d v="2024-11-06T00:00:00"/>
    <s v="AC6368"/>
    <x v="36"/>
    <x v="0"/>
    <n v="11.14"/>
    <s v="inr"/>
    <n v="1"/>
    <n v="-276122.94"/>
    <s v="Paytm Mall"/>
    <n v="8863745580"/>
    <s v="paytmmall@biz.com"/>
    <s v="Dining"/>
    <s v="Cafe"/>
    <s v="UAE"/>
    <x v="0"/>
    <n v="647095"/>
    <s v="XXXX-XXXX-2968"/>
    <s v="priya.chopra@yahoo.com"/>
    <n v="-194562042"/>
    <s v="No"/>
    <s v="Promo Applied"/>
    <d v="2023-06-01T00:00:00"/>
  </r>
  <r>
    <s v="TX101111"/>
    <d v="2023-12-12T00:00:00"/>
    <s v="AC9115"/>
    <x v="134"/>
    <x v="1"/>
    <n v="42.99"/>
    <s v="AED"/>
    <n v="18.625299999999999"/>
    <n v="-555283.23"/>
    <s v="ElectroWorld"/>
    <n v="4135679644"/>
    <s v="electroworld@biz.com"/>
    <s v="Groceries"/>
    <s v="Supermarket"/>
    <s v="UAE"/>
    <x v="10"/>
    <n v="452943"/>
    <s v="XXXX-XXXX-XXXX-3348"/>
    <s v="lina.sharma@gmail.com"/>
    <n v="8143200303"/>
    <s v="No"/>
    <s v="Chargeback Requested"/>
    <d v="2015-07-06T00:00:00"/>
  </r>
  <r>
    <s v="TX104250"/>
    <d v="2023-08-10T00:00:00"/>
    <s v="AC7194"/>
    <x v="135"/>
    <x v="1"/>
    <n v="120.35"/>
    <s v="AED"/>
    <n v="18.611000000000001"/>
    <n v="-2249722.75"/>
    <s v="Walmart"/>
    <n v="-4277662954"/>
    <s v="walmart@biz.com"/>
    <s v="Dining"/>
    <s v="Restaurant"/>
    <s v="India"/>
    <x v="2"/>
    <n v="286788"/>
    <s v="XXXX-XXXX-3063"/>
    <s v="priya.mehta@yahoo.com"/>
    <n v="-8376127751"/>
    <s v="No"/>
    <s v="Chargeback Requested"/>
    <d v="2020-04-23T00:00:00"/>
  </r>
  <r>
    <s v="TX102004"/>
    <d v="2024-11-01T00:00:00"/>
    <s v="AC9358"/>
    <x v="136"/>
    <x v="0"/>
    <n v="3.41"/>
    <s v="AED"/>
    <n v="19.361499999999999"/>
    <n v="-1198059.81"/>
    <s v="Reliance"/>
    <n v="8412840981"/>
    <s v="reliance@biz.com"/>
    <s v="Education"/>
    <s v="Course"/>
    <s v="India"/>
    <x v="2"/>
    <n v="808623"/>
    <s v="XXXX-XXXX-XXXX-4572"/>
    <s v="ritu.das@example.com"/>
    <n v="6583587694"/>
    <s v="No"/>
    <s v="Suspected Fraud"/>
    <d v="2016-12-25T00:00:00"/>
  </r>
  <r>
    <s v="TX102943"/>
    <d v="2024-05-07T00:00:00"/>
    <s v="AC3092"/>
    <x v="137"/>
    <x v="0"/>
    <n v="26.35"/>
    <s v="inr"/>
    <n v="1"/>
    <n v="-1640902.85"/>
    <s v="Starbucks"/>
    <n v="3260319717"/>
    <s v="starbucks@biz.com"/>
    <s v="Electronics"/>
    <s v="Laptop"/>
    <s v="India"/>
    <x v="10"/>
    <n v="144817"/>
    <m/>
    <s v="isha.iyer@gmail.com"/>
    <n v="-4346202507"/>
    <s v="No"/>
    <s v="Monthly Subscription"/>
    <d v="2019-06-11T00:00:00"/>
  </r>
  <r>
    <s v="TX103997"/>
    <d v="2024-07-01T00:00:00"/>
    <s v="AC6576"/>
    <x v="138"/>
    <x v="0"/>
    <n v="22.55"/>
    <s v="inr"/>
    <n v="1"/>
    <n v="-2208560.77"/>
    <s v="Amazon"/>
    <n v="1922215748"/>
    <s v="amazon@biz.com"/>
    <s v="Health"/>
    <s v="Pharmacy"/>
    <s v="Australia"/>
    <x v="10"/>
    <n v="301323"/>
    <m/>
    <s v="uma.gupta@example.com"/>
    <n v="7147064340"/>
    <s v="No"/>
    <s v="Chargeback Requested"/>
    <d v="2021-04-13T00:00:00"/>
  </r>
  <r>
    <s v="TX104470"/>
    <d v="2024-02-02T00:00:00"/>
    <s v="AC8355"/>
    <x v="139"/>
    <x v="2"/>
    <n v="48.8"/>
    <s v="GBP"/>
    <n v="106.0535"/>
    <n v="-2462582.61"/>
    <s v="BigBasket"/>
    <n v="2753786541"/>
    <s v="bigbasket@biz.com"/>
    <s v="Electronics"/>
    <s v="Mobile"/>
    <s v="UAE"/>
    <x v="8"/>
    <n v="765571"/>
    <s v="XXXX-XXXX-XXXX-9148"/>
    <s v="uma.patel@gmail.com"/>
    <n v="2771205271"/>
    <s v="No"/>
    <s v="Suspected Fraud"/>
    <d v="1905-07-17T00:00:00"/>
  </r>
  <r>
    <s v="TX103780"/>
    <d v="2024-03-01T00:00:00"/>
    <s v="AC7341"/>
    <x v="140"/>
    <x v="1"/>
    <n v="27.65"/>
    <s v="inr"/>
    <n v="1"/>
    <n v="-2117901.0299999998"/>
    <s v="Myntra"/>
    <n v="4137734805"/>
    <s v="myntra@biz.com"/>
    <s v="Education"/>
    <s v="Course"/>
    <s v="India"/>
    <x v="1"/>
    <n v="551134"/>
    <s v="XXXX-XXXX-XXXX-7212"/>
    <s v="neha.sharma@yahoo.com"/>
    <n v="1365240920"/>
    <s v="No"/>
    <s v="Promo Applied"/>
    <d v="1905-07-07T00:00:00"/>
  </r>
  <r>
    <s v="TX105685"/>
    <d v="2024-01-11T00:00:00"/>
    <s v="AC6695"/>
    <x v="98"/>
    <x v="0"/>
    <n v="5.51"/>
    <s v="GBP"/>
    <n v="103.7726"/>
    <n v="-2900639.64"/>
    <s v="Paytm Mall"/>
    <n v="227479439"/>
    <s v="paytmmall@biz.com"/>
    <s v="Dining"/>
    <s v="Cafe"/>
    <s v="UK"/>
    <x v="6"/>
    <n v="865739"/>
    <s v="XXXX-XXXX-6161"/>
    <s v="asha.mehta@gmail.com"/>
    <n v="8971696213"/>
    <s v="No"/>
    <s v="Suspected Fraud"/>
    <d v="2020-11-01T00:00:00"/>
  </r>
  <r>
    <s v="TX100541"/>
    <d v="2025-08-09T00:00:00"/>
    <s v="AC7296"/>
    <x v="141"/>
    <x v="0"/>
    <n v="8.5399999999999991"/>
    <s v="AED"/>
    <n v="19.812999999999999"/>
    <n v="-276509.09999999998"/>
    <s v="Swiggy"/>
    <n v="-3814031288"/>
    <s v="swiggy@biz.com"/>
    <s v="Groceries"/>
    <s v="Specialty"/>
    <s v="UK"/>
    <x v="4"/>
    <n v="838845"/>
    <s v="XXXX-XXXX-4182"/>
    <s v="dev.das@gmail.com"/>
    <n v="3997043859"/>
    <s v="No"/>
    <s v="Monthly Subscription"/>
    <d v="2021-04-01T00:00:00"/>
  </r>
  <r>
    <s v="TX104820"/>
    <d v="2024-09-12T00:00:00"/>
    <s v="AC2088"/>
    <x v="142"/>
    <x v="0"/>
    <n v="27.39"/>
    <s v="AED"/>
    <n v="20.801200000000001"/>
    <n v="-2579651.3199999998"/>
    <s v="Zomato"/>
    <n v="3530600410"/>
    <s v="zomato@biz.com"/>
    <s v="Dining"/>
    <s v="Cafe"/>
    <s v="Australia"/>
    <x v="7"/>
    <n v="246291"/>
    <s v="XXXX-XXXX-XXXX-1991"/>
    <s v="lina.nair@hotmail.com"/>
    <n v="8314767823"/>
    <s v="No"/>
    <s v="Promo Applied"/>
    <d v="2022-12-01T00:00:00"/>
  </r>
  <r>
    <s v="TX102827"/>
    <d v="2024-10-10T00:00:00"/>
    <s v="AC4549"/>
    <x v="7"/>
    <x v="1"/>
    <n v="30.74"/>
    <s v="USD"/>
    <n v="81.291799999999995"/>
    <n v="-1625494.85"/>
    <s v="AutoZone"/>
    <n v="9931431480"/>
    <s v="autozone@biz.com"/>
    <s v="Automotive"/>
    <s v="Repair"/>
    <s v="UK"/>
    <x v="5"/>
    <n v="832614"/>
    <s v="XXXX-XXXX-5058"/>
    <s v="sam.khan@hotmail.com"/>
    <n v="2170477581"/>
    <s v="No"/>
    <s v="Repeat Purchase"/>
    <d v="2021-01-01T00:00:00"/>
  </r>
  <r>
    <s v="TX103319"/>
    <d v="2024-05-04T00:00:00"/>
    <s v="AC1585"/>
    <x v="143"/>
    <x v="1"/>
    <n v="535.95000000000005"/>
    <s v="inr"/>
    <n v="1"/>
    <n v="-1808558.03"/>
    <s v="Zomato"/>
    <n v="751584857"/>
    <s v="zomato@biz.com"/>
    <s v="Electronics"/>
    <s v="Mobile"/>
    <s v="USA"/>
    <x v="8"/>
    <n v="630443"/>
    <s v="XXXX-XXXX-7416"/>
    <m/>
    <n v="6259506888"/>
    <s v="No"/>
    <s v="Repeat Purchase"/>
    <d v="2019-02-17T00:00:00"/>
  </r>
  <r>
    <s v="TX102185"/>
    <d v="2024-12-03T00:00:00"/>
    <s v="AC1341"/>
    <x v="144"/>
    <x v="1"/>
    <n v="208.54"/>
    <s v="GBP"/>
    <n v="94.453000000000003"/>
    <n v="-1221637.55"/>
    <s v="LocalMart"/>
    <n v="4689164046"/>
    <s v="localmart@biz.com"/>
    <s v="Education"/>
    <s v="Books"/>
    <s v="India"/>
    <x v="0"/>
    <n v="391175"/>
    <s v="XXXX-XXXX-3580"/>
    <s v="asha.patel@example.com"/>
    <n v="5413308507"/>
    <s v="No"/>
    <s v="Monthly Subscription"/>
    <d v="2017-06-11T00:00:00"/>
  </r>
  <r>
    <s v="TX102408"/>
    <d v="2024-11-07T00:00:00"/>
    <s v="AC5989"/>
    <x v="65"/>
    <x v="0"/>
    <n v="87.68"/>
    <s v="AED"/>
    <n v="19.2166"/>
    <n v="-1412232.82"/>
    <s v="ElectroWorld"/>
    <n v="-5855134248"/>
    <s v="electroworld@biz.com"/>
    <s v="Dining"/>
    <s v="Cafe"/>
    <s v="India"/>
    <x v="2"/>
    <n v="582386"/>
    <s v="XXXX-XXXX-4945"/>
    <s v="karan.joshi@example.com"/>
    <n v="-6110024619"/>
    <s v="No"/>
    <s v="Cashback Credited"/>
    <d v="2024-06-01T00:00:00"/>
  </r>
  <r>
    <s v="TX102566"/>
    <d v="2024-03-12T00:00:00"/>
    <s v="AC5686"/>
    <x v="120"/>
    <x v="1"/>
    <n v="10.02"/>
    <s v="inr"/>
    <n v="1"/>
    <n v="-1557923.97"/>
    <s v="Starbucks"/>
    <n v="5823851638"/>
    <s v="starbucks@biz.com"/>
    <s v="Entertainment"/>
    <s v="Concert"/>
    <s v="UAE"/>
    <x v="8"/>
    <n v="667921"/>
    <s v="XXXX-XXXX-XXXX-7676"/>
    <s v="neha.desai@example.com "/>
    <n v="6143989178"/>
    <s v="No"/>
    <s v="Promo Applied"/>
    <d v="2019-09-20T00:00:00"/>
  </r>
  <r>
    <s v="TX104175"/>
    <d v="2025-05-08T00:00:00"/>
    <s v="AC2491"/>
    <x v="145"/>
    <x v="1"/>
    <n v="59.73"/>
    <s v="inr"/>
    <n v="1"/>
    <n v="-2237152.1"/>
    <s v="Reliance"/>
    <n v="-9174888148"/>
    <s v="reliance@biz.com"/>
    <s v="Electronics"/>
    <s v="Accessory"/>
    <s v="USA"/>
    <x v="0"/>
    <n v="212738"/>
    <s v="XXXX-XXXX-4440"/>
    <s v="ritu.mehta@hotmail.com"/>
    <n v="-2351244760"/>
    <s v="No"/>
    <s v="Cashback Credited"/>
    <d v="2019-12-07T00:00:00"/>
  </r>
  <r>
    <s v="TX102000"/>
    <d v="2025-08-08T00:00:00"/>
    <s v="AC1848"/>
    <x v="146"/>
    <x v="1"/>
    <n v="14.73"/>
    <s v="inr"/>
    <n v="1"/>
    <n v="-1198026.3400000001"/>
    <s v="Flipkart"/>
    <n v="1023428551"/>
    <s v="flipkart@biz.com"/>
    <s v="Utilities"/>
    <s v="Internet"/>
    <s v="Canada"/>
    <x v="8"/>
    <n v="200147"/>
    <s v="XXXX-XXXX-1751"/>
    <s v="lin.gupt@hotmail.com"/>
    <n v="5702078655"/>
    <s v="No"/>
    <s v="Manual Adjustment"/>
    <d v="1905-07-17T00:00:00"/>
  </r>
  <r>
    <s v="TX104670"/>
    <d v="2025-08-03T00:00:00"/>
    <s v="AC6282"/>
    <x v="58"/>
    <x v="1"/>
    <n v="72.44"/>
    <s v="USD"/>
    <n v="75.136499999999998"/>
    <n v="-2467947.66"/>
    <s v="Walmart"/>
    <n v="4295677840"/>
    <s v="walmart@biz.com"/>
    <s v="Utilities"/>
    <s v="Electricity"/>
    <s v="UK"/>
    <x v="1"/>
    <n v="753094"/>
    <s v="XXXX-XXXX-3356"/>
    <s v="karan.khan@example.com"/>
    <n v="-4882689392"/>
    <s v="No"/>
    <s v="Chargeback Requested"/>
    <d v="1905-07-09T00:00:00"/>
  </r>
  <r>
    <s v="TX100284"/>
    <d v="2024-11-11T00:00:00"/>
    <s v="AC1032"/>
    <x v="69"/>
    <x v="0"/>
    <n v="428.22"/>
    <s v="USD"/>
    <n v="75.467399999999998"/>
    <n v="-174816.11"/>
    <s v="Swiggy"/>
    <n v="3427223556"/>
    <s v="swiggy@biz.com"/>
    <s v="Utilities"/>
    <s v="Water"/>
    <s v="Australia"/>
    <x v="8"/>
    <n v="629166"/>
    <s v="XXXX-XXXX-3661"/>
    <s v="raj.gupta@example.com"/>
    <n v="5614282768"/>
    <s v="No"/>
    <s v="Suspected Fraud"/>
    <d v="2017-02-01T00:00:00"/>
  </r>
  <r>
    <s v="TX102706"/>
    <d v="2025-01-09T00:00:00"/>
    <s v="AC9297"/>
    <x v="147"/>
    <x v="1"/>
    <n v="-39.4"/>
    <s v="inr"/>
    <n v="1"/>
    <n v="-1603330.49"/>
    <s v="Swiggy"/>
    <n v="8242191899"/>
    <s v="swiggy@biz.com"/>
    <s v="Clothing"/>
    <s v="Women"/>
    <s v="India"/>
    <x v="6"/>
    <n v="800068"/>
    <s v="XXXX-XXXX-9524"/>
    <s v="anita.patel@yahoo.com"/>
    <n v="-3610823313"/>
    <s v="No"/>
    <s v="Chargeback Requested"/>
    <d v="2019-07-17T00:00:00"/>
  </r>
  <r>
    <s v="TX102546"/>
    <d v="2023-11-12T00:00:00"/>
    <s v="AC9171"/>
    <x v="148"/>
    <x v="0"/>
    <n v="6.34"/>
    <s v="USD"/>
    <n v="80.276399999999995"/>
    <n v="-1557400.96"/>
    <s v="Flipkart"/>
    <n v="9805285776"/>
    <s v="flipkart@biz.com"/>
    <s v="Education"/>
    <s v="Course"/>
    <s v="India"/>
    <x v="5"/>
    <n v="511184"/>
    <s v="XXXX-XXXX-XXXX-7770"/>
    <s v="karan.das@hotmail.com"/>
    <n v="8769262968"/>
    <s v="No"/>
    <s v="Monthly Subscription"/>
    <d v="2022-04-12T00:00:00"/>
  </r>
  <r>
    <s v="TX104608"/>
    <d v="2024-05-09T00:00:00"/>
    <s v="AC5385"/>
    <x v="34"/>
    <x v="1"/>
    <n v="75.459999999999994"/>
    <s v="inr"/>
    <n v="1"/>
    <n v="-2466201.48"/>
    <s v="Myntra"/>
    <n v="3099949601"/>
    <s v="myntra@biz.com"/>
    <s v="Utilities"/>
    <s v="Electricity"/>
    <s v="India"/>
    <x v="7"/>
    <n v="645997"/>
    <s v="XXXX-XXXX-XXXX-3679"/>
    <s v="rohit.kumar@gmail.com"/>
    <n v="-33964691"/>
    <s v="No"/>
    <s v="Chargeback Requested"/>
    <d v="2018-03-03T00:00:00"/>
  </r>
  <r>
    <s v="TX103027"/>
    <d v="2024-10-05T00:00:00"/>
    <s v="AC1400"/>
    <x v="149"/>
    <x v="1"/>
    <n v="56.77"/>
    <s v="inr"/>
    <n v="1"/>
    <n v="-1652117.94"/>
    <s v="ShopEasy"/>
    <n v="5746356902"/>
    <s v="shopeasy@biz.com"/>
    <s v="Automotive"/>
    <s v="Fuel"/>
    <s v="India"/>
    <x v="0"/>
    <n v="898189"/>
    <s v="XXXX-XXXX-5270"/>
    <s v="priy.khn@yahoo.com"/>
    <n v="215306626"/>
    <s v="No"/>
    <s v="Manual Adjustment"/>
    <d v="1905-07-14T00:00:00"/>
  </r>
  <r>
    <s v="TX100150"/>
    <d v="2025-01-05T00:00:00"/>
    <s v="AC3450"/>
    <x v="66"/>
    <x v="0"/>
    <n v="44.73"/>
    <s v="inr"/>
    <n v="1"/>
    <n v="-159537.51999999999"/>
    <s v="Walmart"/>
    <n v="-2983814598"/>
    <s v="walmart@biz.com"/>
    <s v="Education"/>
    <s v="Course"/>
    <s v="UAE"/>
    <x v="10"/>
    <n v="277721"/>
    <m/>
    <s v="isha.reddy@gmail.com"/>
    <n v="6966146740"/>
    <s v="No"/>
    <s v="Repeat Purchase"/>
    <d v="1905-07-08T00:00:00"/>
  </r>
  <r>
    <s v="TX102558"/>
    <d v="2025-08-02T00:00:00"/>
    <s v="AC3363"/>
    <x v="53"/>
    <x v="2"/>
    <n v="49.08"/>
    <s v="USD"/>
    <n v="72.860699999999994"/>
    <n v="-1557822.04"/>
    <s v="Reliance"/>
    <n v="7203446344"/>
    <s v="reliance@biz.com"/>
    <s v="Education"/>
    <s v="Books"/>
    <s v="Canada"/>
    <x v="1"/>
    <n v="937074"/>
    <s v="XXXX-XXXX-3176"/>
    <s v="amit.roy@yahoo.com"/>
    <n v="5142208073"/>
    <s v="No"/>
    <s v="Chargeback Requested"/>
    <d v="2024-10-06T00:00:00"/>
  </r>
  <r>
    <s v="TX100761"/>
    <d v="2024-06-02T00:00:00"/>
    <s v="AC2958"/>
    <x v="102"/>
    <x v="1"/>
    <n v="38.340000000000003"/>
    <s v="USD"/>
    <n v="76.358699999999999"/>
    <n v="-445907.29"/>
    <s v="Zomato"/>
    <n v="8419833388"/>
    <s v="zomato@biz.com"/>
    <s v="Travel"/>
    <s v="Flight"/>
    <s v="UAE"/>
    <x v="6"/>
    <n v="700833"/>
    <m/>
    <s v="ritu.bose@hotmail.com"/>
    <n v="4392854286"/>
    <s v="No"/>
    <s v="Monthly Subscription"/>
    <d v="2022-10-18T00:00:00"/>
  </r>
  <r>
    <s v="TX101868"/>
    <d v="2025-09-08T00:00:00"/>
    <s v="AC1446"/>
    <x v="2"/>
    <x v="0"/>
    <n v="-8.94"/>
    <s v="USD"/>
    <n v="82.376900000000006"/>
    <n v="-1150839.47"/>
    <s v="Amazon"/>
    <n v="6989450197"/>
    <s v="amazon@biz.com"/>
    <s v="Education"/>
    <s v="Books"/>
    <s v="USA"/>
    <x v="1"/>
    <n v="426484"/>
    <s v="XXXX-XXXX-2100"/>
    <s v="karan.bose@yahoo.com "/>
    <n v="4012168133"/>
    <s v="No"/>
    <s v="Chargeback Requested"/>
    <d v="2016-08-01T00:00:00"/>
  </r>
  <r>
    <s v="TX105524"/>
    <d v="2024-03-06T00:00:00"/>
    <s v="AC3929"/>
    <x v="150"/>
    <x v="0"/>
    <n v="11.85"/>
    <s v="USD"/>
    <n v="80.374799999999993"/>
    <n v="-2866502.37"/>
    <s v="AutoZone"/>
    <n v="-893459696"/>
    <s v="autozone@biz.com"/>
    <s v="Entertainment"/>
    <s v="Concert"/>
    <s v="Canada"/>
    <x v="2"/>
    <n v="324059"/>
    <s v="XXXX-XXXX-3867"/>
    <s v="rahul.nair@example.com"/>
    <n v="2468705808"/>
    <s v="No"/>
    <s v="Chargeback Requested"/>
    <d v="2021-06-16T00:00:00"/>
  </r>
  <r>
    <s v="TX103086"/>
    <d v="2024-08-03T00:00:00"/>
    <s v="AC6963"/>
    <x v="151"/>
    <x v="0"/>
    <n v="30.94"/>
    <s v="AED"/>
    <n v="21.386199999999999"/>
    <n v="-1675673.82"/>
    <s v="Flipkart"/>
    <n v="3276425662"/>
    <s v="flipkart@biz.com"/>
    <s v="Electronics"/>
    <s v="Laptop"/>
    <s v="UK"/>
    <x v="7"/>
    <n v="366780"/>
    <m/>
    <s v="raj.reddy@example.com"/>
    <n v="2092346541"/>
    <s v="No"/>
    <s v="Cashback Credited"/>
    <d v="2026-02-01T00:00:00"/>
  </r>
  <r>
    <s v="TX105607"/>
    <d v="2023-12-10T00:00:00"/>
    <s v="AC3774"/>
    <x v="152"/>
    <x v="1"/>
    <n v="21.02"/>
    <s v="AED"/>
    <n v="18.5611"/>
    <n v="-2872746.79"/>
    <s v="AutoZone"/>
    <n v="2380510864"/>
    <s v="autozone@biz.com"/>
    <s v="Automotive"/>
    <s v="Fuel"/>
    <s v="Canada"/>
    <x v="0"/>
    <n v="266718"/>
    <s v="XXXX-XXXX-2358"/>
    <s v="anita.desai@hotmail.com"/>
    <n v="5209613380"/>
    <s v="No"/>
    <s v="Manual Adjustment"/>
    <d v="1905-07-12T00:00:00"/>
  </r>
  <r>
    <s v="TX104303"/>
    <d v="2024-07-05T00:00:00"/>
    <s v="AC9632"/>
    <x v="153"/>
    <x v="1"/>
    <n v="77.02"/>
    <s v="AED"/>
    <n v="21.412099999999999"/>
    <n v="-2308498.38"/>
    <s v="Zomato"/>
    <n v="2565008201"/>
    <s v="zomato@biz.com"/>
    <s v="Clothing"/>
    <s v="Women"/>
    <s v="Canada"/>
    <x v="5"/>
    <n v="766503"/>
    <s v="XXXX-XXXX-7396"/>
    <s v="vikram.patel@yahoo.com"/>
    <n v="3816255685"/>
    <s v="No"/>
    <s v="Monthly Subscription"/>
    <d v="2022-11-02T00:00:00"/>
  </r>
  <r>
    <s v="TX102022"/>
    <d v="2024-07-08T00:00:00"/>
    <s v="AC5064"/>
    <x v="154"/>
    <x v="1"/>
    <n v="169.49"/>
    <s v="GBP"/>
    <n v="102.6007"/>
    <n v="-1198409.1000000001"/>
    <s v="Amazon"/>
    <n v="5475922913"/>
    <s v="amazon@biz.com"/>
    <s v="Groceries"/>
    <s v="Specialty"/>
    <s v="UK"/>
    <x v="5"/>
    <n v="556873"/>
    <s v="XXXX-XXXX-XXXX-1113"/>
    <s v="isha.das@gmail.com"/>
    <n v="1876355142"/>
    <s v="No"/>
    <s v="Chargeback Requested"/>
    <d v="1905-07-07T00:00:00"/>
  </r>
  <r>
    <s v="TX104321"/>
    <d v="2024-04-07T00:00:00"/>
    <s v="AC6686"/>
    <x v="155"/>
    <x v="1"/>
    <n v="29.12"/>
    <s v="USD"/>
    <n v="81.336299999999994"/>
    <n v="-2418919.35"/>
    <s v="LocalMart"/>
    <n v="9860054177"/>
    <s v="localmart@biz.com"/>
    <s v="Groceries"/>
    <s v="Specialty"/>
    <s v="Canada"/>
    <x v="0"/>
    <n v="387992"/>
    <s v="XXXX-XXXX-4505"/>
    <s v="raj.kumar@example.com"/>
    <n v="7754847906"/>
    <s v="No"/>
    <s v="Chargeback Requested"/>
    <d v="2020-04-01T00:00:00"/>
  </r>
  <r>
    <s v="TX101236"/>
    <d v="2025-01-04T00:00:00"/>
    <s v="AC8764"/>
    <x v="156"/>
    <x v="0"/>
    <n v="247.95"/>
    <s v="USD"/>
    <n v="75.244200000000006"/>
    <n v="-594933.56000000006"/>
    <s v="Swiggy"/>
    <n v="6590161133"/>
    <s v="swiggy@biz.com"/>
    <s v="Clothing"/>
    <s v="Men"/>
    <s v="Canada"/>
    <x v="3"/>
    <n v="844201"/>
    <s v="XXXX-XXXX-6792"/>
    <s v="maya.khan@yahoo.com"/>
    <n v="2211740983"/>
    <s v="No"/>
    <s v="Monthly Subscription"/>
    <d v="1905-07-17T00:00:00"/>
  </r>
  <r>
    <s v="TX100898"/>
    <d v="2024-10-03T00:00:00"/>
    <s v="AC3337"/>
    <x v="141"/>
    <x v="1"/>
    <n v="140.87"/>
    <s v="inr"/>
    <n v="1"/>
    <n v="-529068.88"/>
    <s v="Flipkart"/>
    <n v="8780863158"/>
    <s v="flipkart@biz.com"/>
    <s v="Groceries"/>
    <s v="Specialty"/>
    <s v="UK"/>
    <x v="7"/>
    <n v="390458"/>
    <m/>
    <s v="dev.das@yahoo.com"/>
    <n v="9611411502"/>
    <s v="No"/>
    <s v="Chargeback Requested"/>
    <d v="2020-11-27T00:00:00"/>
  </r>
  <r>
    <s v="TX100814"/>
    <d v="2025-04-04T00:00:00"/>
    <s v="AC2515"/>
    <x v="155"/>
    <x v="0"/>
    <n v="114.23"/>
    <s v="inr"/>
    <n v="1"/>
    <n v="-457425.28"/>
    <s v="Myntra"/>
    <n v="-2322364363"/>
    <s v="myntra@biz.com"/>
    <s v="Groceries"/>
    <s v="Supermarket"/>
    <s v="UAE"/>
    <x v="5"/>
    <n v="891929"/>
    <s v="XXXX-XXXX-4774"/>
    <s v="raj.kumar@gmail.com"/>
    <n v="2342978175"/>
    <s v="No"/>
    <s v="Repeat Purchase"/>
    <d v="1905-07-10T00:00:00"/>
  </r>
  <r>
    <s v="TX105438"/>
    <d v="2025-12-03T00:00:00"/>
    <s v="AC9278"/>
    <x v="20"/>
    <x v="1"/>
    <n v="49.91"/>
    <s v="USD "/>
    <n v="76.415899999999993"/>
    <n v="-2783817.61"/>
    <s v="Zomato"/>
    <n v="-8327455300"/>
    <s v="zomato@biz.com"/>
    <s v="Automotive"/>
    <s v="Repair"/>
    <s v="USA"/>
    <x v="2"/>
    <n v="928708"/>
    <s v="XXXX-XXXX-3151"/>
    <s v="ritu.kumar@yahoocom"/>
    <n v="4268854419"/>
    <s v="No"/>
    <s v="Chargeback Requested"/>
    <d v="2018-05-08T00:00:00"/>
  </r>
  <r>
    <s v="TX104526"/>
    <d v="2024-08-09T00:00:00"/>
    <s v="AC9775"/>
    <x v="157"/>
    <x v="1"/>
    <n v="6.26"/>
    <s v="inr"/>
    <n v="1"/>
    <n v="-2463995.69"/>
    <s v="BigBasket"/>
    <n v="4978007543"/>
    <s v="bigbasket@biz.com"/>
    <s v="Utilities"/>
    <s v="Internet"/>
    <s v="Canada"/>
    <x v="10"/>
    <n v="731681"/>
    <s v="XXXX-XXXX-6244"/>
    <s v="vikram.chopra@example.com"/>
    <n v="-5826963313"/>
    <s v="No"/>
    <s v="Repeat Purchase"/>
    <d v="2020-10-01T00:00:00"/>
  </r>
  <r>
    <s v="TX105015"/>
    <d v="2024-02-02T00:00:00"/>
    <s v="AC9130"/>
    <x v="25"/>
    <x v="0"/>
    <n v="17.920000000000002"/>
    <s v="inr"/>
    <n v="1"/>
    <n v="-2624723.17"/>
    <s v="Reliance"/>
    <n v="2694730379"/>
    <s v="reliance@biz.com"/>
    <s v="Dining"/>
    <s v="Cafe"/>
    <s v="Australia"/>
    <x v="6"/>
    <n v="283899"/>
    <s v="XXXX-XXXX-9098"/>
    <s v="rohit.chopra@hotmailcom"/>
    <n v="8249107299"/>
    <s v="No"/>
    <s v="Suspected Fraud"/>
    <d v="1905-07-17T00:00:00"/>
  </r>
  <r>
    <s v="TX102466"/>
    <d v="2025-04-04T00:00:00"/>
    <s v="AC6616"/>
    <x v="156"/>
    <x v="0"/>
    <n v="13.25"/>
    <s v="GBP"/>
    <n v="100.2405"/>
    <n v="-1483052.85"/>
    <s v="ElectroWorld"/>
    <n v="6214490747"/>
    <s v="electroworld@biz.com"/>
    <s v="Dining"/>
    <s v="FastFood"/>
    <s v="UAE"/>
    <x v="4"/>
    <n v="302382"/>
    <s v="XXXX-XXXX-4148"/>
    <s v="maya.khan@yahoo.com"/>
    <n v="-2298391025"/>
    <s v="No"/>
    <s v="Chargeback Requested"/>
    <d v="1905-07-08T00:00:00"/>
  </r>
  <r>
    <s v="TX100487"/>
    <d v="2024-01-08T00:00:00"/>
    <s v="AC9800"/>
    <x v="158"/>
    <x v="1"/>
    <n v="9.0399999999999991"/>
    <s v="USD"/>
    <n v="81.831500000000005"/>
    <n v="-260087.16"/>
    <s v="Swiggy"/>
    <n v="3050807353"/>
    <s v="swiggy@biz.com"/>
    <s v="Automotive"/>
    <s v="Repair"/>
    <s v="Canada"/>
    <x v="10"/>
    <n v="992159"/>
    <s v="XXXX-XXXX-2698"/>
    <s v="sam.joshi@example.com"/>
    <n v="6831282047"/>
    <s v="Yess"/>
    <s v="Manual Adjustment"/>
    <d v="2019-11-01T00:00:00"/>
  </r>
  <r>
    <s v="TX105088"/>
    <d v="2025-10-06T00:00:00"/>
    <s v="AC4791"/>
    <x v="14"/>
    <x v="0"/>
    <n v="36.65"/>
    <s v="GBP"/>
    <n v="102.2929"/>
    <n v="-2653336.3199999998"/>
    <s v="Walmart"/>
    <n v="5615943609"/>
    <s v="walmart@biz.com"/>
    <s v="Utilities"/>
    <s v="Internet"/>
    <s v="USA"/>
    <x v="6"/>
    <n v="295457"/>
    <s v="XXXX-XXXX-XXXX-8607"/>
    <s v="amit.chopra@hotmail.com"/>
    <n v="2748766503"/>
    <s v="No"/>
    <s v="Monthly Subscription"/>
    <d v="2022-09-02T00:00:00"/>
  </r>
  <r>
    <s v="TX100589"/>
    <d v="2024-08-01T00:00:00"/>
    <s v="AC2123"/>
    <x v="159"/>
    <x v="0"/>
    <n v="11.85"/>
    <s v="GBP "/>
    <n v="106.027"/>
    <n v="-279950.96999999997"/>
    <s v="BigBasket"/>
    <n v="6489225169"/>
    <s v="bigbasket@biz.com"/>
    <s v="Groceries"/>
    <s v="Supermarket"/>
    <s v="UK"/>
    <x v="7"/>
    <n v="560229"/>
    <s v="XXXX-XXXX-XXXX-3364"/>
    <s v="suresh.singh@example.com"/>
    <n v="6970463795"/>
    <s v="No"/>
    <s v="Chargeback Requested"/>
    <d v="2022-03-03T00:00:00"/>
  </r>
  <r>
    <s v="TX100012"/>
    <d v="2025-10-06T00:00:00"/>
    <s v="AC6429"/>
    <x v="160"/>
    <x v="0"/>
    <n v="44.27"/>
    <s v="USD"/>
    <n v="80.188599999999994"/>
    <n v="9557.92"/>
    <s v="Walmart"/>
    <n v="-4620708933"/>
    <s v="walmart@biz.com"/>
    <s v="Groceries"/>
    <s v="Supermarket"/>
    <s v="Canada"/>
    <x v="5"/>
    <n v="807118"/>
    <s v="XXXX-XXXX-7953"/>
    <s v="arjun.chopra@gmail.com"/>
    <n v="4947028155"/>
    <s v="No"/>
    <s v="Chargeback Requested"/>
    <d v="1905-07-10T00:00:00"/>
  </r>
  <r>
    <s v="TX103655"/>
    <d v="2025-04-05T00:00:00"/>
    <s v="AC4283"/>
    <x v="161"/>
    <x v="1"/>
    <n v="51.26"/>
    <s v="USD "/>
    <n v="77.539299999999997"/>
    <n v="-1935945.25"/>
    <s v="ShopEasy"/>
    <n v="1154023156"/>
    <s v="shopeasy@biz.com"/>
    <s v="Utilities"/>
    <s v="Electricity"/>
    <s v="India"/>
    <x v="4"/>
    <n v="548424"/>
    <s v="XXXX-XXXX-6012"/>
    <s v="uma.joshi@hotmail.com"/>
    <n v="2114497705"/>
    <s v="No"/>
    <s v="Monthly Subscription"/>
    <d v="1905-07-10T00:00:00"/>
  </r>
  <r>
    <s v="TX104196"/>
    <d v="2025-02-02T00:00:00"/>
    <s v="AC8223"/>
    <x v="162"/>
    <x v="1"/>
    <n v="123.56"/>
    <s v="INRr"/>
    <n v="1"/>
    <n v="-2237590.88"/>
    <s v="ShopEasy"/>
    <n v="6876254073"/>
    <s v="shopeasy@biz.com"/>
    <s v="Utilities"/>
    <s v="Water"/>
    <s v="UAE"/>
    <x v="5"/>
    <n v="457011"/>
    <s v="XXXX-XXXX-XXXX-2162"/>
    <s v="rahul.dashotmail.com"/>
    <n v="111617033"/>
    <s v="No"/>
    <s v="Manual Adjustment"/>
    <d v="2017-01-01T00:00:00"/>
  </r>
  <r>
    <s v="TX105217"/>
    <d v="2023-11-10T00:00:00"/>
    <s v="AC8400"/>
    <x v="28"/>
    <x v="1"/>
    <n v="18.02"/>
    <s v="inr"/>
    <n v="1"/>
    <n v="-2680853.8199999998"/>
    <s v="Starbucks"/>
    <n v="2361914468"/>
    <s v="starbucks@biz.com"/>
    <s v="Education"/>
    <s v="Books"/>
    <s v="Australia"/>
    <x v="10"/>
    <n v="370385"/>
    <s v="XXXX-XXXX-XXXX-1776"/>
    <s v="rohit.reddy@yahoo.com"/>
    <n v="8441175471"/>
    <s v="No"/>
    <s v="Suspected Fraud"/>
    <d v="2021-07-20T00:00:00"/>
  </r>
  <r>
    <s v="TX105224"/>
    <d v="2025-03-09T00:00:00"/>
    <s v="AC9290"/>
    <x v="163"/>
    <x v="1"/>
    <n v="1121.9100000000001"/>
    <s v="inr"/>
    <n v="1"/>
    <n v="-2681599.58"/>
    <s v="LocalMart"/>
    <n v="3190799274"/>
    <s v="localmart@biz.com"/>
    <s v="Entertainment"/>
    <s v="Concert"/>
    <s v="UAE"/>
    <x v="4"/>
    <n v="583145"/>
    <s v="XXXX-XXXX-XXXX-1810"/>
    <s v="maya.mehta@hotmail.com"/>
    <n v="-5773645911"/>
    <s v="No"/>
    <s v="Manual Adjustment"/>
    <d v="1905-07-16T00:00:00"/>
  </r>
  <r>
    <s v="TX105644"/>
    <d v="2024-12-12T00:00:00"/>
    <s v="AC3735"/>
    <x v="164"/>
    <x v="1"/>
    <n v="82.48"/>
    <s v="INRr"/>
    <n v="1"/>
    <n v="-2873632.5"/>
    <s v="Paytm Mall"/>
    <n v="4473073407"/>
    <s v="paytmmall@biz.com"/>
    <s v="Utilities"/>
    <s v="Electricity"/>
    <s v="UAE"/>
    <x v="0"/>
    <n v="432791"/>
    <s v="XXXX-XXXX-2398"/>
    <s v="raj.chopra@hotmail.com"/>
    <n v="8090626991"/>
    <s v="No"/>
    <s v="Monthly Subscription"/>
    <d v="1905-07-15T00:00:00"/>
  </r>
  <r>
    <s v="TX102536"/>
    <d v="2024-01-08T00:00:00"/>
    <s v="AC4277"/>
    <x v="165"/>
    <x v="1"/>
    <n v="106.8"/>
    <s v="inr"/>
    <n v="1"/>
    <n v="-1556959.21"/>
    <s v="ShopEasy"/>
    <n v="2660973506"/>
    <s v="shopeasy@biz.com"/>
    <s v="Travel"/>
    <s v="Flight"/>
    <s v="UK"/>
    <x v="0"/>
    <n v="595186"/>
    <s v="XXXX-XXXX-8490"/>
    <s v="anita.das@gmail.com"/>
    <n v="8286843946"/>
    <s v="No"/>
    <s v="Manual Adjustment"/>
    <d v="2020-10-28T00:00:00"/>
  </r>
  <r>
    <s v="TX105857"/>
    <d v="2024-04-10T00:00:00"/>
    <s v="AC7915"/>
    <x v="133"/>
    <x v="0"/>
    <n v="17.78"/>
    <s v="inr"/>
    <n v="1"/>
    <n v="-2913963.48"/>
    <s v="Swiggy"/>
    <n v="-6043625695"/>
    <s v="swiggy@biz.com"/>
    <s v="Utilities"/>
    <s v="Water"/>
    <s v="USA"/>
    <x v="6"/>
    <n v="418009"/>
    <m/>
    <s v="ritu.desai@gmail.com"/>
    <n v="-8859697726"/>
    <s v="No"/>
    <s v="Promo Applied -- Verify_x000a_Contact Support"/>
    <d v="2025-04-01T00:00:00"/>
  </r>
  <r>
    <s v="TX101919"/>
    <d v="2023-05-11T00:00:00"/>
    <s v="AC1628"/>
    <x v="166"/>
    <x v="1"/>
    <n v="18.79"/>
    <s v="inr"/>
    <n v="1"/>
    <n v="-1163472.99"/>
    <s v="AutoZone"/>
    <n v="6195697270"/>
    <s v="autozone@biz.com"/>
    <s v="Electronics"/>
    <s v="Accessory"/>
    <s v="UK"/>
    <x v="5"/>
    <n v="386979"/>
    <n v="4408660000000000"/>
    <s v="suresh.bose@hotmail.com"/>
    <n v="3217013192"/>
    <s v="No"/>
    <s v="Repeat Purchase"/>
    <d v="2020-05-25T00:00:00"/>
  </r>
  <r>
    <s v="TX103579"/>
    <d v="2025-04-03T00:00:00"/>
    <s v="AC1354"/>
    <x v="111"/>
    <x v="0"/>
    <n v="9.2100000000000009"/>
    <s v="inr"/>
    <n v="1"/>
    <n v="-1985204.59"/>
    <s v="Reliance"/>
    <n v="864595676"/>
    <s v="reliance@biz.com"/>
    <s v="Groceries"/>
    <s v="Supermarket"/>
    <s v="USA"/>
    <x v="8"/>
    <n v="684"/>
    <s v="XXXX-XXXX-7692"/>
    <s v="rahul.desai@hotmail.com"/>
    <n v="4095374557"/>
    <s v="No"/>
    <s v="Cashback Credited"/>
    <d v="1905-07-14T00:00:00"/>
  </r>
  <r>
    <s v="TX103971"/>
    <d v="2025-10-06T00:00:00"/>
    <s v="AC2432"/>
    <x v="63"/>
    <x v="1"/>
    <n v="8.82"/>
    <s v="inr"/>
    <n v="1"/>
    <n v="-2122206.0699999998"/>
    <s v="ElectroWorld"/>
    <n v="3541092227"/>
    <s v="electroworld@biz.com"/>
    <s v="Travel"/>
    <s v="Taxi"/>
    <s v="Canada"/>
    <x v="3"/>
    <n v="561487"/>
    <s v="XXXX-XXXX-7066"/>
    <s v="uma.khan@hotmail.com"/>
    <n v="9631673739"/>
    <s v="No"/>
    <s v="Monthly Subscription"/>
    <d v="2017-07-01T00:00:00"/>
  </r>
  <r>
    <s v="TX104878"/>
    <d v="2024-12-11T00:00:00"/>
    <s v="AC9117"/>
    <x v="100"/>
    <x v="1"/>
    <n v="14.62"/>
    <s v="inr"/>
    <n v="1"/>
    <n v="-2582105.12"/>
    <s v="Zomato"/>
    <n v="2030620025"/>
    <s v="zomato@biz.com"/>
    <s v="Dining"/>
    <s v="Restaurant"/>
    <s v="Australia"/>
    <x v="5"/>
    <n v="966866"/>
    <s v="XXXX-XXXX-8834"/>
    <s v="arjun.khan@yahoo.com"/>
    <n v="3779766908"/>
    <s v="No"/>
    <s v="Chargeback Requested"/>
    <d v="2025-02-18T00:00:00"/>
  </r>
  <r>
    <s v="TX105775"/>
    <d v="2024-04-10T00:00:00"/>
    <s v="AC8365"/>
    <x v="91"/>
    <x v="0"/>
    <n v="6.94"/>
    <s v="AED"/>
    <n v="20.18"/>
    <n v="-2902624.67"/>
    <s v="AutoZone"/>
    <n v="9267489378"/>
    <s v="autozone@biz.com"/>
    <s v="Education"/>
    <s v="Course"/>
    <s v="USA"/>
    <x v="7"/>
    <n v="750484"/>
    <s v="XXXX-XXXX-XXXX-5495"/>
    <s v="amit.desai@yahoo.com"/>
    <n v="1570838558"/>
    <s v="No"/>
    <s v="Cashback Credited"/>
    <d v="2020-08-01T00:00:00"/>
  </r>
  <r>
    <s v="TX105396"/>
    <d v="2024-08-04T00:00:00"/>
    <s v="AC1322"/>
    <x v="167"/>
    <x v="1"/>
    <n v="44.15"/>
    <s v="USD"/>
    <n v="78.837900000000005"/>
    <n v="-2775322.66"/>
    <s v="Starbucks"/>
    <n v="6079239212"/>
    <s v="starbucks@biz.com"/>
    <s v="Clothing"/>
    <s v="Women"/>
    <s v="UAE"/>
    <x v="0"/>
    <n v="390958"/>
    <s v="XXXX-XXXX-XXXX-1871"/>
    <s v="asha.kumar@gmail.com"/>
    <n v="2426894212"/>
    <s v="No"/>
    <s v="Promo Applied"/>
    <d v="2023-10-16T00:00:00"/>
  </r>
  <r>
    <s v="TX105923"/>
    <d v="2025-03-03T00:00:00"/>
    <s v="AC8377"/>
    <x v="168"/>
    <x v="0"/>
    <n v="36.54"/>
    <s v="USD"/>
    <n v="81.160300000000007"/>
    <n v="-2933671.96"/>
    <s v="Swiggy"/>
    <n v="-7646927142"/>
    <s v="swiggy@biz.com"/>
    <s v="Groceries"/>
    <s v="Supermarket"/>
    <s v="Canada"/>
    <x v="8"/>
    <n v="846516"/>
    <s v="XXXX-XXXX-XXXX-5624"/>
    <s v="ritu.joshi@example.com"/>
    <n v="-9763150017"/>
    <s v="No"/>
    <s v="Suspected Fraud"/>
    <d v="2018-07-01T00:00:00"/>
  </r>
  <r>
    <s v="TX100030"/>
    <d v="2024-12-03T00:00:00"/>
    <s v="AC1310"/>
    <x v="120"/>
    <x v="0"/>
    <n v="16.09"/>
    <s v="AED"/>
    <n v="20.4129"/>
    <n v="9341.19"/>
    <s v="BigBasket"/>
    <n v="6498747213"/>
    <s v="bigbasket@biz.com"/>
    <s v="Travel"/>
    <s v="Taxi"/>
    <s v="USA"/>
    <x v="5"/>
    <n v="117233"/>
    <s v="XXXX-XXXX-8514"/>
    <s v="neha.desai@yahoo.com"/>
    <n v="7486937915"/>
    <s v="No"/>
    <s v="Repeat Purchase"/>
    <d v="1905-07-09T00:00:00"/>
  </r>
  <r>
    <s v="TX102650"/>
    <d v="2024-05-09T00:00:00"/>
    <s v="AC7815"/>
    <x v="22"/>
    <x v="0"/>
    <n v="11.14"/>
    <s v="USD"/>
    <n v="74.9084"/>
    <n v="-1560689"/>
    <s v="BigBasket"/>
    <n v="4973863151"/>
    <s v="bigbasket@biz.com"/>
    <s v="Electronics"/>
    <s v="Laptop"/>
    <s v="USA"/>
    <x v="0"/>
    <n v="385092"/>
    <m/>
    <s v="anita.iyer@example.com"/>
    <n v="-3179781723"/>
    <s v="No"/>
    <s v="Manual Adjustment"/>
    <d v="2019-04-01T00:00:00"/>
  </r>
  <r>
    <s v="TX105836"/>
    <d v="2025-12-02T00:00:00"/>
    <s v="AC4037"/>
    <x v="67"/>
    <x v="2"/>
    <n v="3.37"/>
    <s v="AED"/>
    <n v="20.413699999999999"/>
    <n v="-2913132.67"/>
    <s v="Zomato"/>
    <n v="3974102350"/>
    <s v="zomato@biz.com"/>
    <s v="Electronics"/>
    <s v="Accessory"/>
    <s v="UAE"/>
    <x v="6"/>
    <n v="391036"/>
    <s v="XXXX-XXXX-XXXX-9858"/>
    <s v="rohit.khan@example.com"/>
    <n v="6589001420"/>
    <s v="No"/>
    <s v="Repeat Purchase"/>
    <d v="2016-10-01T00:00:00"/>
  </r>
  <r>
    <s v="TX104753"/>
    <d v="2024-10-07T00:00:00"/>
    <s v="AC8918"/>
    <x v="91"/>
    <x v="1"/>
    <n v="20.32"/>
    <s v="inr"/>
    <n v="1"/>
    <n v="-2514831.0099999998"/>
    <s v="Swiggy"/>
    <n v="7508009390"/>
    <s v="swiggy@biz.com"/>
    <s v="Travel"/>
    <s v="Taxi"/>
    <s v="UK"/>
    <x v="5"/>
    <n v="131024"/>
    <n v="4298750000000000"/>
    <s v="amit.desai@yahoo.com"/>
    <n v="9667060020"/>
    <s v="No"/>
    <s v="Monthly Subscription"/>
    <d v="2017-05-19T00:00:00"/>
  </r>
  <r>
    <s v="TX102785"/>
    <d v="2025-08-05T00:00:00"/>
    <s v="AC4196"/>
    <x v="64"/>
    <x v="0"/>
    <n v="21.71"/>
    <s v="USD"/>
    <n v="78.125299999999996"/>
    <n v="-1617518.93"/>
    <s v="Amazon"/>
    <n v="9152548432"/>
    <s v="amazon@biz.com"/>
    <s v="Automotive"/>
    <s v="Repair"/>
    <s v="Canada"/>
    <x v="3"/>
    <n v="905237"/>
    <s v="XXXX-XXXX-4461"/>
    <s v="ritu.sharma@yahoo.com"/>
    <n v="3367259581"/>
    <s v="No"/>
    <s v="Promo Applied"/>
    <d v="2025-07-01T00:00:00"/>
  </r>
  <r>
    <s v="TX105051"/>
    <d v="2024-11-05T00:00:00"/>
    <s v="AC7040"/>
    <x v="33"/>
    <x v="0"/>
    <n v="50.47"/>
    <s v="USD"/>
    <n v="73.644599999999997"/>
    <n v="-2626295.83"/>
    <s v="Walmart"/>
    <n v="1035996058"/>
    <s v="walmart@biz.com"/>
    <s v="Dining"/>
    <s v="FastFood"/>
    <s v="USA"/>
    <x v="7"/>
    <n v="521528"/>
    <s v="XXXX-XXXX-XXXX-4695"/>
    <s v="maya.desai@gmail.com"/>
    <n v="6957196932"/>
    <s v="No"/>
    <s v="Manual Adjustment"/>
    <d v="2017-10-01T00:00:00"/>
  </r>
  <r>
    <s v="TX101881"/>
    <d v="2024-04-09T00:00:00"/>
    <s v="AC5407"/>
    <x v="148"/>
    <x v="1"/>
    <n v="230.14"/>
    <s v="USD"/>
    <n v="78.894599999999997"/>
    <n v="-1162714.71"/>
    <s v="Swiggy"/>
    <n v="733416288"/>
    <s v="swiggy@biz.com"/>
    <s v="Electronics"/>
    <s v="Laptop"/>
    <s v="Australia"/>
    <x v="1"/>
    <n v="593611"/>
    <s v="XXXX-XXXX-2113"/>
    <m/>
    <n v="4360511445"/>
    <s v="No"/>
    <s v="Suspected Fraud"/>
    <d v="2017-01-08T00:00:00"/>
  </r>
  <r>
    <s v="TX104790"/>
    <d v="2025-07-01T00:00:00"/>
    <s v="AC6353"/>
    <x v="28"/>
    <x v="2"/>
    <n v="24.08"/>
    <s v="GBP"/>
    <n v="91.938999999999993"/>
    <n v="-2538875.4900000002"/>
    <s v="Zomato"/>
    <n v="7895682734"/>
    <s v="zomato@biz.com"/>
    <s v="Utilities"/>
    <s v="Water"/>
    <s v="Australia"/>
    <x v="1"/>
    <n v="176322"/>
    <s v="XXXX-XXXX-1340"/>
    <s v="rohit.reddy@hotmail.com"/>
    <n v="2959868783"/>
    <s v="No"/>
    <s v="Chargeback Requested"/>
    <d v="1905-07-18T00:00:00"/>
  </r>
  <r>
    <s v="TX103375"/>
    <d v="2025-10-02T00:00:00"/>
    <s v="AC7502"/>
    <x v="169"/>
    <x v="0"/>
    <n v="9.69"/>
    <s v="INRr"/>
    <n v="1"/>
    <n v="-1824317.6"/>
    <s v="ElectroWorld"/>
    <n v="161370362"/>
    <s v="electroworld@biz.com"/>
    <s v="Travel"/>
    <s v="Hotel"/>
    <s v="UAE"/>
    <x v="6"/>
    <n v="885981"/>
    <s v="XXXX-XXXX-XXXX-7596"/>
    <s v="uma.iyer@hotmail.com"/>
    <n v="-5940581224"/>
    <s v="No"/>
    <s v="Manual Adjustment"/>
    <d v="1905-07-11T00:00:00"/>
  </r>
  <r>
    <s v="TX103554"/>
    <d v="2024-01-03T00:00:00"/>
    <s v="AC8254"/>
    <x v="170"/>
    <x v="0"/>
    <n v="3.64"/>
    <s v="GBP"/>
    <n v="99.532499999999999"/>
    <n v="-1984802.52"/>
    <s v="Reliance"/>
    <n v="9568264400"/>
    <s v="reliance@biz.com"/>
    <s v="Dining"/>
    <s v="Restaurant"/>
    <s v="UAE"/>
    <x v="5"/>
    <n v="199141"/>
    <s v="XXXX-XXXX-9605"/>
    <s v="rahul.bose@example.com"/>
    <n v="363760568"/>
    <s v="No"/>
    <s v="Cashback Credited"/>
    <d v="2020-10-13T00:00:00"/>
  </r>
  <r>
    <s v="TX100903"/>
    <d v="2025-04-01T00:00:00"/>
    <s v="AC6523"/>
    <x v="134"/>
    <x v="1"/>
    <n v="153.57"/>
    <s v="inr"/>
    <n v="1"/>
    <n v="-529153.56999999995"/>
    <s v="Zomato"/>
    <n v="-586705718"/>
    <s v="zomato@biz.com"/>
    <s v="Utilities"/>
    <s v="Electricity"/>
    <s v="USA"/>
    <x v="2"/>
    <n v="131324"/>
    <s v="XXXX-XXXX-XXXX-3299"/>
    <s v="lina.sharma@hotmailcom"/>
    <n v="3493827383"/>
    <s v="No"/>
    <s v="Manual Adjustment"/>
    <d v="2018-12-30T00:00:00"/>
  </r>
  <r>
    <s v="TX102878"/>
    <d v="2023-08-10T00:00:00"/>
    <s v="AC3569"/>
    <x v="171"/>
    <x v="0"/>
    <n v="47.02"/>
    <s v="inr"/>
    <n v="1"/>
    <n v="-1626980.5"/>
    <s v="ShopEasy"/>
    <n v="190440424"/>
    <s v="shopeasy@biz.com"/>
    <s v="Clothing"/>
    <s v="Women"/>
    <s v="Australia"/>
    <x v="6"/>
    <n v="112256"/>
    <s v="XXXX-XXXX-7609"/>
    <s v="sana.khan@hotmailcom"/>
    <n v="3906200104"/>
    <s v="No"/>
    <s v="Repeat Purchase"/>
    <d v="2019-03-01T00:00:00"/>
  </r>
  <r>
    <s v="TX104854"/>
    <d v="2024-02-02T00:00:00"/>
    <s v="AC9075"/>
    <x v="172"/>
    <x v="1"/>
    <n v="136.71"/>
    <s v="GBP"/>
    <n v="107.09220000000001"/>
    <n v="-2580762.5499999998"/>
    <s v="Amazon"/>
    <n v="6059828038"/>
    <s v="amazon@biz.com"/>
    <s v="Travel"/>
    <s v="Flight"/>
    <s v="India"/>
    <x v="4"/>
    <n v="859066"/>
    <s v="XXXX-XXXX-XXXX-3274"/>
    <s v="priya.roy@example.com"/>
    <n v="6804239738"/>
    <s v="No"/>
    <s v="Repeat Purchase"/>
    <d v="2016-03-01T00:00:00"/>
  </r>
  <r>
    <s v="TX105074"/>
    <d v="2024-11-02T00:00:00"/>
    <s v="AC1913"/>
    <x v="173"/>
    <x v="1"/>
    <n v="42.14"/>
    <s v="USD"/>
    <n v="78.514099999999999"/>
    <n v="-2652686.4900000002"/>
    <s v="Reliance"/>
    <n v="648188402"/>
    <s v="reliance@biz.com"/>
    <s v="Entertainment"/>
    <s v="Movies"/>
    <s v="UAE"/>
    <x v="10"/>
    <n v="647013"/>
    <s v="XXXX-XXXX-5132"/>
    <s v="rohit.nair@gmail.com"/>
    <n v="-3066298254"/>
    <s v="No"/>
    <s v="Repeat Purchase"/>
    <d v="1905-07-14T00:00:00"/>
  </r>
  <r>
    <s v="TX102924"/>
    <d v="2024-04-03T00:00:00"/>
    <s v="AC6272"/>
    <x v="159"/>
    <x v="0"/>
    <n v="36.97"/>
    <s v="GBP"/>
    <n v="105.8201"/>
    <n v="-1640310.05"/>
    <s v="Myntra"/>
    <n v="5834150089"/>
    <s v="myntra@biz.com"/>
    <s v="Utilities"/>
    <s v="Internet"/>
    <s v="UAE"/>
    <x v="2"/>
    <n v="429421"/>
    <n v="4927730000000000"/>
    <s v="suresh.singh@yahoo.com"/>
    <n v="1390527416"/>
    <s v="No"/>
    <s v="Repeat Purchase"/>
    <d v="2022-01-01T00:00:00"/>
  </r>
  <r>
    <s v="TX105713"/>
    <d v="2025-10-01T00:00:00"/>
    <s v="AC6964"/>
    <x v="174"/>
    <x v="0"/>
    <n v="53.39"/>
    <s v="GBP"/>
    <n v="100.9098"/>
    <n v="-2901376.99"/>
    <s v="ElectroWorld"/>
    <n v="-8291514683"/>
    <s v="electroworld@biz.com"/>
    <s v="Dining"/>
    <s v="FastFood"/>
    <s v="Canada"/>
    <x v="10"/>
    <n v="845109"/>
    <s v="XXXX-XXXX-8965"/>
    <s v="maya.roy@hotmail.com"/>
    <n v="-6290638483"/>
    <s v="No"/>
    <s v="Repeat Purchase"/>
    <d v="2015-07-12T00:00:00"/>
  </r>
  <r>
    <s v="TX100240"/>
    <d v="2025-02-02T00:00:00"/>
    <s v="AC5518"/>
    <x v="175"/>
    <x v="1"/>
    <n v="12.79"/>
    <s v="AED"/>
    <n v="18.995799999999999"/>
    <n v="-182789.78"/>
    <s v="Amazon"/>
    <n v="8466073981"/>
    <s v="amazon@biz.com"/>
    <s v="Dining"/>
    <s v="Cafe"/>
    <s v="India"/>
    <x v="4"/>
    <n v="433424"/>
    <s v="XXXX-XXXX-2959"/>
    <s v="anita.chopra@example.com"/>
    <n v="8946503566"/>
    <s v="No"/>
    <s v="Suspected Fraud"/>
    <d v="2025-06-08T00:00:00"/>
  </r>
  <r>
    <s v="TX100727"/>
    <d v="2024-09-08T00:00:00"/>
    <s v="AC7349"/>
    <x v="176"/>
    <x v="0"/>
    <n v="50.25"/>
    <s v="AED"/>
    <n v="21.895"/>
    <n v="-441459.4"/>
    <s v="Reliance"/>
    <n v="5484025183"/>
    <s v="reliance@biz.com"/>
    <s v="Education"/>
    <s v="Books"/>
    <s v="Australia"/>
    <x v="10"/>
    <n v="756137"/>
    <s v="XXXX-XXXX-3695"/>
    <s v="maya.kumar@gmail.com"/>
    <n v="7184523102"/>
    <s v="No"/>
    <s v="Chargeback Requested"/>
    <d v="2019-01-25T00:00:00"/>
  </r>
  <r>
    <s v="TX103629"/>
    <d v="2024-01-12T00:00:00"/>
    <s v="AC7045"/>
    <x v="34"/>
    <x v="1"/>
    <n v="15.5"/>
    <s v="inr"/>
    <n v="1"/>
    <n v="-1935529.83"/>
    <s v="Paytm Mall"/>
    <n v="6259506888"/>
    <s v="paytmmall@biz.com"/>
    <s v="Utilities"/>
    <s v="Electricity"/>
    <s v="India"/>
    <x v="5"/>
    <n v="721"/>
    <s v="XXXX-XXXX-5657"/>
    <s v="rohit.kumar@yahoo.com"/>
    <n v="5216887209"/>
    <s v="No"/>
    <s v="Monthly Subscription"/>
    <d v="2026-01-01T00:00:00"/>
  </r>
  <r>
    <s v="TX104079"/>
    <d v="2025-12-01T00:00:00"/>
    <s v="AC1586"/>
    <x v="177"/>
    <x v="1"/>
    <n v="22.95"/>
    <s v="inr"/>
    <n v="1"/>
    <n v="-2231781.6800000002"/>
    <s v="LocalMart"/>
    <n v="6299229007"/>
    <s v="localmart@biz.com"/>
    <s v="Dining"/>
    <s v="FastFood"/>
    <s v="UK"/>
    <x v="1"/>
    <n v="136540"/>
    <s v="XXXX-XXXX-9294"/>
    <s v="rohit.singh@hotmail.com"/>
    <n v="2114631293"/>
    <s v="No"/>
    <s v="Cashback Credited"/>
    <d v="2016-07-01T00:00:00"/>
  </r>
  <r>
    <s v="TX105305"/>
    <d v="2024-06-06T00:00:00"/>
    <s v="AC5606"/>
    <x v="178"/>
    <x v="2"/>
    <n v="121.33"/>
    <s v="GBP"/>
    <n v="101.264"/>
    <n v="-2773258.53"/>
    <s v="Myntra"/>
    <n v="9795243043"/>
    <s v="myntra@biz.com"/>
    <s v="Dining"/>
    <s v="FastFood"/>
    <s v="India"/>
    <x v="8"/>
    <n v="648949"/>
    <s v="XXXX-XXXX-2746"/>
    <s v="lina.desai@gmail.com"/>
    <n v="9350231054"/>
    <s v="No"/>
    <s v="Manual Adjustment"/>
    <d v="2017-01-01T00:00:00"/>
  </r>
  <r>
    <s v="TX105576"/>
    <d v="2024-05-04T00:00:00"/>
    <s v="AC1542"/>
    <x v="161"/>
    <x v="0"/>
    <n v="14.85"/>
    <s v="USD"/>
    <n v="77.5976"/>
    <n v="-2868241.97"/>
    <s v="Paytm Mall"/>
    <n v="-9417978465"/>
    <s v="paytmmall@biz.com"/>
    <s v="Utilities"/>
    <s v="Internet"/>
    <s v="Canada"/>
    <x v="10"/>
    <n v="549"/>
    <s v="XXXX-XXXX-XXXX-6768"/>
    <s v="uma.joshi@gmail.com"/>
    <n v="9187481074"/>
    <s v="No"/>
    <s v="Manual Adjustment"/>
    <d v="1905-07-09T00:00:00"/>
  </r>
  <r>
    <s v="TX104547"/>
    <d v="2024-07-11T00:00:00"/>
    <s v="AC6750"/>
    <x v="131"/>
    <x v="1"/>
    <n v="30.91"/>
    <s v="GBP"/>
    <n v="94.3977"/>
    <n v="-2464431.42"/>
    <s v="Amazon"/>
    <n v="8044301765"/>
    <s v="amazon@biz.com"/>
    <s v="Education"/>
    <s v="Books"/>
    <s v="UAE"/>
    <x v="7"/>
    <n v="968544"/>
    <s v="XXXX-XXXX-4924"/>
    <s v="karan.roy@gmail.com"/>
    <n v="7320061911"/>
    <s v="No"/>
    <s v="Repeat Purchase"/>
    <d v="1905-07-09T00:00:00"/>
  </r>
  <r>
    <s v="TX102315"/>
    <d v="2024-09-02T00:00:00"/>
    <s v="AC8617"/>
    <x v="63"/>
    <x v="0"/>
    <n v="-54.92"/>
    <s v="AED"/>
    <n v="18.373100000000001"/>
    <n v="-1272712.08"/>
    <s v="LocalMart"/>
    <n v="9719492777"/>
    <s v="localmart@biz.com"/>
    <s v="Clothing"/>
    <s v="Women"/>
    <s v="Canada"/>
    <x v="8"/>
    <n v="589068"/>
    <n v="4115080000000000"/>
    <s v="uma.khan@hotmail.com"/>
    <n v="3712064256"/>
    <s v="No"/>
    <s v="Chargeback Requested"/>
    <d v="1905-07-17T00:00:00"/>
  </r>
  <r>
    <s v="TX103338"/>
    <d v="2025-03-02T00:00:00"/>
    <s v="AC9681"/>
    <x v="31"/>
    <x v="0"/>
    <n v="60.54"/>
    <s v="AED"/>
    <n v="21.396100000000001"/>
    <n v="-1809053.08"/>
    <s v="Starbucks"/>
    <n v="6246319751"/>
    <s v="starbucks@biz.com"/>
    <s v="Entertainment"/>
    <s v="Streaming"/>
    <s v="Australia"/>
    <x v="2"/>
    <n v="338366"/>
    <s v="XXXX-XXXX-1756"/>
    <s v="ritu.iyer@yahoo.com"/>
    <n v="-3508896136"/>
    <s v="No"/>
    <s v="Chargeback Requested"/>
    <d v="1905-07-12T00:00:00"/>
  </r>
  <r>
    <s v="TX102508"/>
    <d v="2024-12-10T00:00:00"/>
    <s v="AC6921"/>
    <x v="179"/>
    <x v="0"/>
    <n v="6.55"/>
    <s v="INR "/>
    <n v="1"/>
    <n v="-1500744.78"/>
    <s v="ElectroWorld"/>
    <n v="5789920231"/>
    <s v="electroworld@biz.com"/>
    <s v="Groceries"/>
    <s v="Specialty"/>
    <s v="UK"/>
    <x v="2"/>
    <n v="253487"/>
    <n v="4837440000000000"/>
    <s v="maya.bose@example.com"/>
    <n v="7280563193"/>
    <s v="No"/>
    <s v="Cashback Credited"/>
    <d v="1905-07-17T00:00:00"/>
  </r>
  <r>
    <s v="TX102407"/>
    <d v="2024-02-04T00:00:00"/>
    <s v="AC5957"/>
    <x v="180"/>
    <x v="1"/>
    <n v="89.63"/>
    <s v="AED"/>
    <n v="18.9941"/>
    <n v="-1412188.98"/>
    <s v="LocalMart"/>
    <n v="9270234202"/>
    <s v="localmart@biz.com"/>
    <s v="Groceries"/>
    <s v="Specialty"/>
    <s v="Australia"/>
    <x v="4"/>
    <n v="781106"/>
    <s v="XXXX-XXXX-XXXX-4685"/>
    <s v="amit.kumar@example.com"/>
    <n v="6283336725"/>
    <s v="No"/>
    <s v="Repeat Purchase"/>
    <d v="1905-07-10T00:00:00"/>
  </r>
  <r>
    <s v="TX102053"/>
    <d v="2023-10-12T00:00:00"/>
    <s v="AC2780"/>
    <x v="117"/>
    <x v="0"/>
    <n v="23"/>
    <s v="INRr"/>
    <n v="1"/>
    <n v="-1198967.75"/>
    <s v="Reliance"/>
    <n v="5674416390"/>
    <s v="reliance@biz.com"/>
    <s v="Electronics"/>
    <s v="Accessory"/>
    <s v="Canada"/>
    <x v="1"/>
    <n v="202566"/>
    <s v="XXXX-XXXX-2432"/>
    <s v="dev.gupta@hotmail.com"/>
    <n v="3749037078"/>
    <s v="No"/>
    <s v="Promo Applied"/>
    <d v="1905-07-11T00:00:00"/>
  </r>
  <r>
    <s v="TX102318"/>
    <d v="2025-07-09T00:00:00"/>
    <s v="AC9836"/>
    <x v="181"/>
    <x v="1"/>
    <n v="16.95"/>
    <s v="AED"/>
    <n v="21.839700000000001"/>
    <n v="-1272756.81"/>
    <s v="ElectroWorld"/>
    <n v="3913113314"/>
    <s v="electroworld@biz.com"/>
    <s v="Health"/>
    <s v="Pharmacy"/>
    <s v="India"/>
    <x v="6"/>
    <n v="414080"/>
    <s v="XXXX-XXXX-5194"/>
    <s v="anita.reddy@example.com "/>
    <n v="9146509395"/>
    <s v="No"/>
    <s v="Chargeback Requested"/>
    <d v="1905-07-09T00:00:00"/>
  </r>
  <r>
    <s v="TX104149"/>
    <d v="2025-04-04T00:00:00"/>
    <s v="AC5733"/>
    <x v="182"/>
    <x v="0"/>
    <n v="44.36"/>
    <s v="inr"/>
    <n v="1"/>
    <n v="-2236660.81"/>
    <s v="Starbucks"/>
    <n v="5378511955"/>
    <s v="starbucks@biz.com"/>
    <s v="Education"/>
    <s v="Books"/>
    <s v="Australia"/>
    <x v="10"/>
    <n v="332244"/>
    <s v="XXXX-XXXX-XXXX-1060"/>
    <s v="vikram.singh@gmail.com"/>
    <n v="9298975644"/>
    <s v="No"/>
    <s v="Chargeback Requested"/>
    <d v="2023-07-28T00:00:00"/>
  </r>
  <r>
    <s v="TX100910"/>
    <d v="2024-07-09T00:00:00"/>
    <s v="AC1251"/>
    <x v="121"/>
    <x v="0"/>
    <n v="22.89"/>
    <s v="USD"/>
    <n v="76.970600000000005"/>
    <n v="-529505.06999999995"/>
    <s v="Walmart"/>
    <n v="8074167522"/>
    <s v="walmart@biz.com"/>
    <s v="Travel"/>
    <s v="Taxi"/>
    <s v="Australia"/>
    <x v="8"/>
    <n v="851398"/>
    <n v="4608660000000000"/>
    <s v="ritu.reddy@yahoo.com"/>
    <n v="5206609855"/>
    <s v="No"/>
    <s v="Monthly Subscription"/>
    <d v="2022-12-03T00:00:00"/>
  </r>
  <r>
    <s v="TX105935"/>
    <d v="2025-08-05T00:00:00"/>
    <s v="AC2960"/>
    <x v="139"/>
    <x v="1"/>
    <n v="56.27"/>
    <s v="USD"/>
    <n v="78.030199999999994"/>
    <n v="-2933940.97"/>
    <s v="Paytm Mall"/>
    <n v="111597435"/>
    <s v="paytmmall@biz.com"/>
    <s v="Clothing"/>
    <s v="Men"/>
    <s v="UK"/>
    <x v="8"/>
    <n v="647487"/>
    <s v="XXXX-XXXX-9897"/>
    <s v="uma.patel@yahoo.com"/>
    <n v="5159797476"/>
    <s v="No"/>
    <s v="Promo Applied"/>
    <d v="2020-03-02T00:00:00"/>
  </r>
  <r>
    <s v="TX100167"/>
    <d v="2023-09-12T00:00:00"/>
    <s v="AC8459"/>
    <x v="15"/>
    <x v="1"/>
    <n v="322.52"/>
    <s v="inr"/>
    <n v="1"/>
    <n v="-160100.15"/>
    <s v="Flipkart"/>
    <n v="4343924695"/>
    <s v="flipkart@biz.com"/>
    <s v="Electronics"/>
    <s v="Laptop"/>
    <s v="Canada"/>
    <x v="6"/>
    <n v="505227"/>
    <s v="XXXX-XXXX-4871"/>
    <s v="rahul.mehtaexample.com"/>
    <n v="6984728116"/>
    <s v="No"/>
    <s v="Chargeback Requested"/>
    <d v="2017-09-01T00:00:00"/>
  </r>
  <r>
    <s v="TX105474"/>
    <d v="2025-06-09T00:00:00"/>
    <s v="AC2920"/>
    <x v="118"/>
    <x v="2"/>
    <n v="27.01"/>
    <s v="USD "/>
    <n v="80.506299999999996"/>
    <n v="-2825479.51"/>
    <s v="Swiggy"/>
    <n v="6613467563"/>
    <s v="swiggy@biz.com"/>
    <s v="Clothing"/>
    <s v="Men"/>
    <s v="Canada"/>
    <x v="6"/>
    <n v="129483"/>
    <s v="XXXX-XXXX-2771"/>
    <s v="isha.khan@example.com"/>
    <n v="9709285545"/>
    <s v="No"/>
    <s v="Manual Adjustment"/>
    <d v="2024-04-01T00:00:00"/>
  </r>
  <r>
    <s v="TX104322"/>
    <d v="2025-06-07T00:00:00"/>
    <s v="AC5478"/>
    <x v="82"/>
    <x v="1"/>
    <n v="143.21"/>
    <s v="USD"/>
    <n v="72.1096"/>
    <n v="-2418990.9500000002"/>
    <s v="Paytm Mall"/>
    <n v="3870748016"/>
    <s v="paytmmall@biz.com"/>
    <s v="Groceries"/>
    <s v="Supermarket"/>
    <s v="Australia"/>
    <x v="5"/>
    <n v="184395"/>
    <s v="XXXX-XXXX-XXXX-3268"/>
    <m/>
    <n v="8779922222"/>
    <s v="No"/>
    <s v="Promo Applied"/>
    <d v="2017-11-01T00:00:00"/>
  </r>
  <r>
    <s v="TX100205"/>
    <d v="2023-03-10T00:00:00"/>
    <s v="AC9776"/>
    <x v="183"/>
    <x v="2"/>
    <n v="10.75"/>
    <s v="AED"/>
    <n v="18.685099999999998"/>
    <n v="-164014.81"/>
    <s v="Zomato"/>
    <n v="9317003253"/>
    <s v="zomato@biz.com"/>
    <s v="Education"/>
    <s v="Course"/>
    <s v="UAE"/>
    <x v="10"/>
    <n v="926291"/>
    <n v="4927020000000000"/>
    <s v="ritu.nair@yahoo.com "/>
    <n v="8254234276"/>
    <s v="No"/>
    <s v="Chargeback Requested"/>
    <d v="2021-10-01T00:00:00"/>
  </r>
  <r>
    <s v="TX101376"/>
    <d v="2024-03-09T00:00:00"/>
    <s v="AC5094"/>
    <x v="37"/>
    <x v="0"/>
    <n v="14.84"/>
    <s v="AED"/>
    <n v="21.599599999999999"/>
    <n v="-974666.47"/>
    <s v="Walmart"/>
    <n v="2999366557"/>
    <s v="walmart@biz.com"/>
    <s v="Health"/>
    <s v="Pharmacy"/>
    <s v="Australia"/>
    <x v="0"/>
    <n v="708954"/>
    <s v="XXXX-XXXX-XXXX-4660"/>
    <s v="sana.roy@example.com"/>
    <n v="9816297146"/>
    <s v="No"/>
    <s v="Manual Adjustment"/>
    <d v="2019-09-07T00:00:00"/>
  </r>
  <r>
    <s v="TX101601"/>
    <d v="2025-06-03T00:00:00"/>
    <s v="AC7649"/>
    <x v="184"/>
    <x v="2"/>
    <n v="172.41"/>
    <s v="AED"/>
    <n v="21.462900000000001"/>
    <n v="-1008874.54"/>
    <s v="AutoZone"/>
    <n v="1225457903"/>
    <s v="autozone@biz.com"/>
    <s v="Electronics"/>
    <s v="Mobile"/>
    <s v="UAE"/>
    <x v="4"/>
    <n v="184550"/>
    <n v="4454830000000000"/>
    <s v="arjun.das@hotmail.com"/>
    <n v="4145691742"/>
    <s v="No"/>
    <s v="Manual Adjustment"/>
    <d v="2022-11-01T00:00:00"/>
  </r>
  <r>
    <s v="TX102447"/>
    <d v="2023-10-10T00:00:00"/>
    <s v="AC7724"/>
    <x v="90"/>
    <x v="1"/>
    <n v="25"/>
    <s v="USD"/>
    <n v="77.953100000000006"/>
    <n v="-1435766.25"/>
    <s v="Amazon"/>
    <n v="1871974077"/>
    <s v="amazon@biz.com"/>
    <s v="Utilities"/>
    <s v="Water"/>
    <s v="Australia"/>
    <x v="4"/>
    <n v="468246"/>
    <m/>
    <s v="raj.iyerhotmail.com"/>
    <n v="4890154840"/>
    <s v="No"/>
    <s v="Chargeback Requested"/>
    <d v="2021-09-02T00:00:00"/>
  </r>
  <r>
    <s v="TX104179"/>
    <d v="2025-11-09T00:00:00"/>
    <s v="AC9862"/>
    <x v="185"/>
    <x v="0"/>
    <n v="21.95"/>
    <s v="inr"/>
    <n v="1"/>
    <n v="-2237035.5299999998"/>
    <s v="BigBasket"/>
    <n v="789996344"/>
    <s v="bigbasket@biz.com"/>
    <s v="Health"/>
    <s v="Clinic"/>
    <s v="India"/>
    <x v="0"/>
    <n v="938769"/>
    <s v="XXXX-XXXX-XXXX-6290"/>
    <s v="sam.sharma@example.com"/>
    <n v="-6188846141"/>
    <s v="No"/>
    <s v="Chargeback Requested"/>
    <d v="2020-07-01T00:00:00"/>
  </r>
  <r>
    <s v="TX104389"/>
    <d v="2024-06-09T00:00:00"/>
    <s v="AC5943"/>
    <x v="186"/>
    <x v="0"/>
    <n v="66.84"/>
    <s v="USD"/>
    <n v="78.565399999999997"/>
    <n v="-2428109.58"/>
    <s v="Myntra"/>
    <n v="2401269266"/>
    <s v="myntra@biz.com"/>
    <s v="Education"/>
    <s v="Books"/>
    <s v="Canada"/>
    <x v="3"/>
    <n v="321758"/>
    <s v="XXXX-XXXX-9841"/>
    <s v="arjun.singh@hotmail.com"/>
    <n v="5898404661"/>
    <s v="No"/>
    <s v="Suspected Fraud"/>
    <d v="2016-06-01T00:00:00"/>
  </r>
  <r>
    <s v="TX105846"/>
    <d v="2024-10-06T00:00:00"/>
    <s v="AC7428"/>
    <x v="187"/>
    <x v="0"/>
    <n v="1110.68"/>
    <s v="USD"/>
    <n v="76.430099999999996"/>
    <n v="-2913875.04"/>
    <s v="Amazon"/>
    <n v="5582636071"/>
    <s v="amazon@biz.com"/>
    <s v="Education"/>
    <s v="Books"/>
    <s v="Australia"/>
    <x v="8"/>
    <n v="829783"/>
    <s v="XXXX-XXXX-XXXX-2411"/>
    <s v="neha.patel@gmail.com "/>
    <n v="5572452463"/>
    <s v="No"/>
    <s v="Cashback Credited"/>
    <d v="1905-07-18T00:00:00"/>
  </r>
  <r>
    <s v="TX105712"/>
    <d v="2024-07-05T00:00:00"/>
    <s v="AC5232"/>
    <x v="10"/>
    <x v="0"/>
    <n v="92.58"/>
    <s v="AED"/>
    <n v="19.2913"/>
    <n v="-2901350.3"/>
    <s v="Myntra"/>
    <n v="3284089939"/>
    <s v="myntra@biz.com"/>
    <s v="Groceries"/>
    <s v="Supermarket"/>
    <s v="USA"/>
    <x v="4"/>
    <n v="964610"/>
    <s v="XXXX-XXXX-9006"/>
    <s v="dev.chopra@hotmail.com"/>
    <n v="6827573859"/>
    <s v="No"/>
    <s v="Cashback Credited"/>
    <d v="2015-08-01T00:00:00"/>
  </r>
  <r>
    <s v="TX102555"/>
    <d v="2024-11-05T00:00:00"/>
    <s v="AC7953"/>
    <x v="188"/>
    <x v="0"/>
    <n v="62.9"/>
    <s v="GBP "/>
    <n v="107.5284"/>
    <n v="-1557780.18"/>
    <s v="Starbucks"/>
    <n v="-9078732794"/>
    <s v="starbucks@biz.com"/>
    <s v="Entertainment"/>
    <s v="Streaming"/>
    <s v="India"/>
    <x v="2"/>
    <n v="887964"/>
    <s v="XXXX-XXXX-4885"/>
    <s v="sana.nair@example.com"/>
    <n v="961958249"/>
    <s v="No"/>
    <s v="Manual Adjustment"/>
    <d v="1905-07-09T00:00:00"/>
  </r>
  <r>
    <s v="TX103665"/>
    <d v="2025-09-06T00:00:00"/>
    <s v="AC6245"/>
    <x v="189"/>
    <x v="0"/>
    <n v="7.32"/>
    <s v="GBP"/>
    <n v="95.482699999999994"/>
    <n v="-1935836.62"/>
    <s v="Myntra"/>
    <n v="9463190835"/>
    <s v="myntra@biz.com"/>
    <s v="Entertainment"/>
    <s v="Streaming"/>
    <s v="UAE"/>
    <x v="1"/>
    <n v="267200"/>
    <s v="XXXX-XXXX-6817"/>
    <s v="raj.bose@hotmail.com"/>
    <n v="921424350"/>
    <s v="No"/>
    <s v="Chargeback Requested"/>
    <d v="2023-03-04T00:00:00"/>
  </r>
  <r>
    <s v="TX102358"/>
    <d v="2024-05-01T00:00:00"/>
    <s v="AC1035"/>
    <x v="190"/>
    <x v="1"/>
    <n v="3.93"/>
    <s v="inr"/>
    <n v="1"/>
    <n v="-1284452.44"/>
    <s v="Walmart"/>
    <n v="8446428961"/>
    <s v="walmart@biz.com"/>
    <s v="Entertainment"/>
    <s v="Movies"/>
    <s v="UAE"/>
    <x v="2"/>
    <n v="548417"/>
    <s v="XXXX-XXXX-3687"/>
    <s v="rahul.reddy@gmail.com"/>
    <n v="9298151856"/>
    <s v="No"/>
    <s v="Manual Adjustment"/>
    <d v="1905-07-13T00:00:00"/>
  </r>
  <r>
    <s v="TX103845"/>
    <d v="2024-08-06T00:00:00"/>
    <s v="AC3385"/>
    <x v="40"/>
    <x v="0"/>
    <n v="89.47"/>
    <s v="USD"/>
    <n v="81.775099999999995"/>
    <n v="-2118873.13"/>
    <s v="BigBasket"/>
    <n v="4843457168"/>
    <s v="bigbasket@biz.com"/>
    <s v="Clothing"/>
    <s v="Men"/>
    <s v="Canada"/>
    <x v="8"/>
    <n v="243891"/>
    <s v="XXXX-XXXX-9790"/>
    <s v="isha.desai@example.com"/>
    <n v="5194651946"/>
    <s v="No"/>
    <s v="Cashback Credited"/>
    <d v="2025-10-10T00:00:00"/>
  </r>
  <r>
    <s v="TX103130"/>
    <d v="2024-06-11T00:00:00"/>
    <s v="AC7396"/>
    <x v="28"/>
    <x v="2"/>
    <n v="29.75"/>
    <s v="inr"/>
    <n v="1"/>
    <n v="-1676456.08"/>
    <s v="Walmart"/>
    <n v="4992645225"/>
    <s v="walmart@biz.com"/>
    <s v="Education"/>
    <s v="Course"/>
    <s v="UK"/>
    <x v="0"/>
    <n v="660522"/>
    <s v="XXXX-XXXX-XXXX-4417"/>
    <s v="rohit.reddy@hotmail.com"/>
    <n v="3794135698"/>
    <s v="No"/>
    <s v="Promo Applied"/>
    <d v="2020-05-01T00:00:00"/>
  </r>
  <r>
    <s v="TX102166"/>
    <d v="2025-02-06T00:00:00"/>
    <s v="AC8327"/>
    <x v="172"/>
    <x v="0"/>
    <n v="12.52"/>
    <s v="inr"/>
    <n v="1"/>
    <n v="-1214752.53"/>
    <s v="ElectroWorld"/>
    <n v="-4929676524"/>
    <s v="electroworld@biz.com"/>
    <s v="Clothing"/>
    <s v="Men"/>
    <s v="India"/>
    <x v="3"/>
    <n v="633670"/>
    <s v="XXXX-XXXX-6866"/>
    <s v="priya.royexample.com"/>
    <n v="2311092654"/>
    <s v="No"/>
    <s v="Manual Adjustment"/>
    <d v="2015-08-01T00:00:00"/>
  </r>
  <r>
    <s v="TX104230"/>
    <d v="2024-10-03T00:00:00"/>
    <s v="AC9801"/>
    <x v="191"/>
    <x v="1"/>
    <n v="5.03"/>
    <s v="inr"/>
    <n v="1"/>
    <n v="-2238370.14"/>
    <s v="Paytm Mall"/>
    <n v="6112311480"/>
    <s v="paytmmall@biz.com"/>
    <s v="Dining"/>
    <s v="Restaurant"/>
    <s v="Canada"/>
    <x v="1"/>
    <n v="424690"/>
    <s v="XXXX-XXXX-5911"/>
    <s v="suresh.khan@gmailcom"/>
    <n v="-6384871252"/>
    <s v="No"/>
    <s v="Monthly Subscription"/>
    <d v="1905-07-09T00:00:00"/>
  </r>
  <r>
    <s v="TX104465"/>
    <d v="2024-06-06T00:00:00"/>
    <s v="AC1227"/>
    <x v="6"/>
    <x v="2"/>
    <n v="8.27"/>
    <s v="USD"/>
    <n v="75.539100000000005"/>
    <n v="-2462439.77"/>
    <s v="Swiggy"/>
    <n v="411208394"/>
    <s v="swiggy@biz.com"/>
    <s v="Education"/>
    <s v="Books"/>
    <s v="UK"/>
    <x v="1"/>
    <n v="432959"/>
    <n v="4911350000000000"/>
    <s v="maya.singh@yahoo.com"/>
    <n v="3017527637"/>
    <s v="No"/>
    <s v="Chargeback Requested"/>
    <d v="2016-08-06T00:00:00"/>
  </r>
  <r>
    <s v="TX105303"/>
    <d v="2025-07-02T00:00:00"/>
    <s v="AC8306"/>
    <x v="42"/>
    <x v="0"/>
    <n v="64.349999999999994"/>
    <s v="USD"/>
    <n v="79.467699999999994"/>
    <n v="-2773185.71"/>
    <s v="LocalMart"/>
    <n v="-1720168588"/>
    <s v="localmart@biz.com"/>
    <s v="Automotive"/>
    <s v="Fuel"/>
    <s v="Canada"/>
    <x v="10"/>
    <n v="627475"/>
    <s v="XXXX-XXXX-4750"/>
    <s v="sam.mehta@example.com"/>
    <n v="7270768327"/>
    <s v="No"/>
    <s v="Chargeback Requested"/>
    <d v="2025-03-01T00:00:00"/>
  </r>
  <r>
    <s v="TX105506"/>
    <d v="2025-01-07T00:00:00"/>
    <s v="AC7148"/>
    <x v="192"/>
    <x v="0"/>
    <n v="9.3800000000000008"/>
    <s v="GBP"/>
    <n v="103.48399999999999"/>
    <n v="-2826502.16"/>
    <s v="Paytm Mall"/>
    <n v="6255477210"/>
    <s v="paytmmall@biz.com"/>
    <s v="Utilities"/>
    <s v="Water"/>
    <s v="Canada"/>
    <x v="5"/>
    <n v="666804"/>
    <s v="XXXX-XXXX-4972"/>
    <s v="sana.chopra@gmail.com"/>
    <n v="2821935176"/>
    <s v="No"/>
    <s v="Suspected Fraud"/>
    <d v="2015-07-09T00:00:00"/>
  </r>
  <r>
    <s v="TX100643"/>
    <d v="2023-08-11T00:00:00"/>
    <s v="AC8741"/>
    <x v="193"/>
    <x v="0"/>
    <n v="5.45"/>
    <s v="GBP"/>
    <n v="99.613"/>
    <n v="-281928.76"/>
    <s v="Paytm Mall"/>
    <n v="-3489644522"/>
    <s v="paytmmall@biz.com"/>
    <s v="Health"/>
    <s v="Pharmacy"/>
    <s v="USA"/>
    <x v="4"/>
    <n v="411360"/>
    <m/>
    <s v="vikrm.iyer@hotmail.com"/>
    <n v="-1913633076"/>
    <s v="No"/>
    <s v="Chargeback Requested"/>
    <d v="2025-10-30T00:00:00"/>
  </r>
  <r>
    <s v="TX105211"/>
    <d v="2024-08-12T00:00:00"/>
    <s v="AC6696"/>
    <x v="194"/>
    <x v="0"/>
    <n v="9.08"/>
    <s v="inr"/>
    <n v="1"/>
    <n v="-2680738.7599999998"/>
    <s v="AutoZone"/>
    <n v="9889057930"/>
    <s v="autozone@biz.com"/>
    <s v="Groceries"/>
    <s v="Specialty"/>
    <s v="Australia"/>
    <x v="7"/>
    <n v="408051"/>
    <s v="XXXX-XXXX-8164"/>
    <s v="asha.khan@hotmail.com"/>
    <n v="2971404848"/>
    <s v="No"/>
    <s v="Promo Applied"/>
    <d v="2020-07-01T00:00:00"/>
  </r>
  <r>
    <s v="TX101511"/>
    <d v="2023-01-10T00:00:00"/>
    <s v="AC7520"/>
    <x v="190"/>
    <x v="1"/>
    <n v="26.25"/>
    <s v="GBP"/>
    <n v="98.241900000000001"/>
    <n v="-987515.58"/>
    <s v="AutoZone"/>
    <n v="8531312629"/>
    <s v="autozone@biz.com"/>
    <s v="Dining"/>
    <s v="Cafe"/>
    <s v="India"/>
    <x v="7"/>
    <n v="956800"/>
    <s v="XXXX-XXXX-7838"/>
    <s v="rahul.reddy@example.com"/>
    <n v="676286112"/>
    <s v="No"/>
    <s v="Manual Adjustment"/>
    <d v="2016-03-01T00:00:00"/>
  </r>
  <r>
    <s v="TX102740"/>
    <d v="2024-12-02T00:00:00"/>
    <s v="AC3621"/>
    <x v="94"/>
    <x v="0"/>
    <n v="54.48"/>
    <s v="GBP"/>
    <n v="103.7979"/>
    <n v="-1604999.76"/>
    <s v="Reliance"/>
    <n v="1600459527"/>
    <s v="reliance@biz.com"/>
    <s v="Groceries"/>
    <s v="Specialty"/>
    <s v="USA"/>
    <x v="4"/>
    <n v="266183"/>
    <s v="XXXX-XXXX-2128"/>
    <s v="suresh.nair@example.com"/>
    <n v="7322000388"/>
    <s v="No"/>
    <s v="Suspected Fraud"/>
    <d v="1905-07-07T00:00:00"/>
  </r>
  <r>
    <s v="TX101605"/>
    <d v="2024-11-10T00:00:00"/>
    <s v="AC5782"/>
    <x v="195"/>
    <x v="0"/>
    <n v="10.55"/>
    <s v="AED"/>
    <n v="19.615200000000002"/>
    <n v="-1008903.06"/>
    <s v="Amazon"/>
    <n v="-9947318692"/>
    <s v="amazon@biz.com"/>
    <s v="Dining"/>
    <s v="FastFood"/>
    <s v="India"/>
    <x v="7"/>
    <n v="388095"/>
    <s v="XXXX-XXXX-8055"/>
    <s v="arjun.reddy@gmail.com"/>
    <n v="2337347545"/>
    <s v="No"/>
    <s v="Repeat Purchase"/>
    <d v="2020-08-01T00:00:00"/>
  </r>
  <r>
    <s v="TX105118"/>
    <d v="2024-08-07T00:00:00"/>
    <s v="AC7949"/>
    <x v="196"/>
    <x v="1"/>
    <n v="4.96"/>
    <s v="USD"/>
    <n v="81.624700000000004"/>
    <n v="-2677906.5499999998"/>
    <s v="Walmart"/>
    <n v="-5064074063"/>
    <s v="walmart@biz.com"/>
    <s v="Education"/>
    <s v="Books"/>
    <s v="USA"/>
    <x v="5"/>
    <n v="940877"/>
    <s v="XXXX-XXXX-XXXX-7794"/>
    <s v="lina.roy@gmail.com"/>
    <n v="551678852"/>
    <s v="No"/>
    <s v="Cashback Credited"/>
    <d v="2016-09-01T00:00:00"/>
  </r>
  <r>
    <s v="TX100907"/>
    <d v="2024-09-08T00:00:00"/>
    <s v="AC6952"/>
    <x v="138"/>
    <x v="2"/>
    <n v="81.09"/>
    <s v="inr"/>
    <n v="1"/>
    <n v="-529235.68000000005"/>
    <s v="Amazon"/>
    <n v="4457944940"/>
    <s v="amazon@biz.com"/>
    <s v="Entertainment"/>
    <s v="Streaming"/>
    <s v="Canada"/>
    <x v="2"/>
    <n v="817848"/>
    <s v="XXXX-XXXX-6761"/>
    <s v="uma.gupta@hotmail.com"/>
    <n v="-9927180498"/>
    <s v="No"/>
    <s v="Manual Adjustment"/>
    <d v="2021-09-06T00:00:00"/>
  </r>
  <r>
    <s v="TX104688"/>
    <d v="2025-09-09T00:00:00"/>
    <s v="AC6868"/>
    <x v="77"/>
    <x v="1"/>
    <n v="5.86"/>
    <s v="AED"/>
    <n v="19.456600000000002"/>
    <n v="-2481801.96"/>
    <s v="Myntra"/>
    <n v="1991612987"/>
    <s v="myntra@biz.com"/>
    <s v="Entertainment"/>
    <s v="Streaming"/>
    <s v="UK"/>
    <x v="8"/>
    <n v="514925"/>
    <s v="XXXX-XXXX-6179"/>
    <s v="priya.iyer@example.com"/>
    <n v="9208896377"/>
    <s v="No"/>
    <s v="Monthly Subscription"/>
    <d v="1905-07-07T00:00:00"/>
  </r>
  <r>
    <s v="TX105146"/>
    <d v="2025-04-01T00:00:00"/>
    <s v="AC5304"/>
    <x v="197"/>
    <x v="0"/>
    <n v="28.53"/>
    <s v="GBP"/>
    <n v="105.97539999999999"/>
    <n v="-2678308.92"/>
    <s v="Reliance"/>
    <n v="2361914468"/>
    <s v="reliance@biz.com"/>
    <s v="Travel"/>
    <s v="Hotel"/>
    <s v="India"/>
    <x v="0"/>
    <n v="277519"/>
    <s v="XXXX-XXXX-XXXX-8318"/>
    <s v="maya.patel@yahoo.com"/>
    <n v="-1098095612"/>
    <s v="No"/>
    <s v="Chargeback Requested"/>
    <d v="2023-12-06T00:00:00"/>
  </r>
  <r>
    <s v="TX101362"/>
    <d v="2025-01-02T00:00:00"/>
    <s v="AC8278"/>
    <x v="162"/>
    <x v="2"/>
    <n v="38.229999999999997"/>
    <s v="AED"/>
    <n v="21.088100000000001"/>
    <n v="-974275.92"/>
    <s v="Reliance"/>
    <n v="7114189189"/>
    <s v="reliance@biz.com"/>
    <s v="Travel"/>
    <s v="Flight"/>
    <s v="UAE"/>
    <x v="3"/>
    <n v="410632"/>
    <s v="XXXX-XXXX-8789"/>
    <s v="rahul.das@gmail.com"/>
    <n v="5693132036"/>
    <s v="No"/>
    <s v="Chargeback Requested"/>
    <d v="2016-02-01T00:00:00"/>
  </r>
  <r>
    <s v="TX104030"/>
    <d v="2024-01-12T00:00:00"/>
    <s v="AC7091"/>
    <x v="63"/>
    <x v="2"/>
    <n v="93.19"/>
    <s v="USD"/>
    <n v="81.026899999999998"/>
    <n v="-2230490.27"/>
    <s v="Amazon"/>
    <n v="5159797476"/>
    <s v="amazon@biz.com"/>
    <s v="Entertainment"/>
    <s v="Streaming"/>
    <s v="UAE"/>
    <x v="8"/>
    <n v="314919"/>
    <s v="XXXX-XXXX-6196"/>
    <s v="uma.khan@example.com"/>
    <n v="1550397792"/>
    <s v="No"/>
    <s v="Repeat Purchase"/>
    <d v="2021-01-08T00:00:00"/>
  </r>
  <r>
    <s v="TX100820"/>
    <d v="2024-03-05T00:00:00"/>
    <s v="AC5390"/>
    <x v="198"/>
    <x v="0"/>
    <n v="17.8"/>
    <s v="AED"/>
    <n v="18.943999999999999"/>
    <n v="-480372.29"/>
    <s v="Myntra"/>
    <n v="241827155"/>
    <s v="myntra@biz.com"/>
    <s v="Travel"/>
    <s v="Hotel"/>
    <s v="UK"/>
    <x v="2"/>
    <n v="298"/>
    <s v="XXXX-XXXX-7358"/>
    <s v="rohit.sharma@gmail.com"/>
    <n v="-1952508275"/>
    <s v="No"/>
    <s v="Monthly Subscription"/>
    <d v="2021-06-27T00:00:00"/>
  </r>
  <r>
    <s v="TX101515"/>
    <d v="2024-06-03T00:00:00"/>
    <s v="AC8178"/>
    <x v="199"/>
    <x v="1"/>
    <n v="28.61"/>
    <s v="AED"/>
    <n v="20.235399999999998"/>
    <n v="-987553.65"/>
    <s v="AutoZone"/>
    <n v="6505500244"/>
    <s v="autozone@biz.com"/>
    <s v="Dining"/>
    <s v="Cafe"/>
    <s v="UK"/>
    <x v="0"/>
    <n v="492121"/>
    <s v="XXXX-XXXX-5202"/>
    <s v="sam.singh@example.com"/>
    <n v="-9916980610"/>
    <s v="No"/>
    <s v="Manual Adjustment"/>
    <d v="2023-01-26T00:00:00"/>
  </r>
  <r>
    <s v="TX105863"/>
    <d v="2025-02-08T00:00:00"/>
    <s v="AC6324"/>
    <x v="200"/>
    <x v="1"/>
    <n v="3.85"/>
    <s v="inr"/>
    <n v="1"/>
    <n v="-2914141.68"/>
    <s v="Walmart"/>
    <n v="2656733209"/>
    <s v="walmart@biz.com"/>
    <s v="Travel"/>
    <s v="Taxi"/>
    <s v="Canada"/>
    <x v="6"/>
    <n v="701532"/>
    <s v="XXXX-XXXX-2786"/>
    <s v="priya.gupta@hotmail.com"/>
    <n v="2389458708"/>
    <s v="No"/>
    <s v="Manual Adjustment"/>
    <d v="2017-03-01T00:00:00"/>
  </r>
  <r>
    <s v="TX103626"/>
    <d v="2025-03-09T00:00:00"/>
    <s v="AC3829"/>
    <x v="169"/>
    <x v="1"/>
    <n v="12.17"/>
    <s v="inr"/>
    <n v="1"/>
    <n v="-1935478.07"/>
    <s v="ElectroWorld"/>
    <n v="3741392088"/>
    <s v="electroworld@biz.com"/>
    <s v="Entertainment"/>
    <s v="Streaming"/>
    <s v="UK"/>
    <x v="7"/>
    <n v="719905"/>
    <s v="XXXX-XXXX-7664"/>
    <s v="uma.iyer@example.com"/>
    <n v="-7847991550"/>
    <s v="No"/>
    <s v="Chargeback Requested"/>
    <d v="2016-11-01T00:00:00"/>
  </r>
  <r>
    <s v="TX100598"/>
    <d v="2025-07-06T00:00:00"/>
    <s v="AC1420"/>
    <x v="117"/>
    <x v="1"/>
    <n v="19.43"/>
    <s v="GBP"/>
    <n v="106.5243"/>
    <n v="-280096.34999999998"/>
    <s v="Flipkart"/>
    <n v="9235266662"/>
    <s v="flipkart@biz.com"/>
    <s v="Education"/>
    <s v="Books"/>
    <s v="India"/>
    <x v="3"/>
    <n v="849144"/>
    <s v="XXXX-XXXX-XXXX-6443"/>
    <s v="dev.gupta@hotmail.com"/>
    <n v="-8151038695"/>
    <s v="No"/>
    <s v="Monthly Subscription"/>
    <d v="2026-02-01T00:00:00"/>
  </r>
  <r>
    <s v="TX100158"/>
    <d v="2024-06-06T00:00:00"/>
    <s v="AC6094"/>
    <x v="201"/>
    <x v="1"/>
    <n v="7.93"/>
    <s v="AED"/>
    <n v="18.0214"/>
    <n v="-159746.71"/>
    <s v="Paytm Mall"/>
    <n v="9782325051"/>
    <s v="paytmmall@biz.com"/>
    <s v="Electronics"/>
    <s v="Laptop"/>
    <s v="UK"/>
    <x v="6"/>
    <n v="561866"/>
    <s v="XXXX-XXXX-6254"/>
    <s v="asha.singh@gmail.com"/>
    <n v="-7620047112"/>
    <s v="No"/>
    <s v="Chargeback Requested"/>
    <d v="2015-10-05T00:00:00"/>
  </r>
  <r>
    <s v="TX104563"/>
    <d v="2023-11-10T00:00:00"/>
    <s v="AC8761"/>
    <x v="82"/>
    <x v="1"/>
    <n v="43.08"/>
    <s v="inr"/>
    <n v="1"/>
    <n v="-2464903.7000000002"/>
    <s v="ShopEasy"/>
    <n v="1990150618"/>
    <s v="shopeasy@biz.com"/>
    <s v="Electronics"/>
    <s v="Accessory"/>
    <s v="Canada"/>
    <x v="1"/>
    <n v="132953"/>
    <n v="4556100000000000"/>
    <s v="sam.gupta@gmail.com"/>
    <n v="-5207232974"/>
    <s v="No"/>
    <s v="Chargeback Requested"/>
    <d v="1905-07-10T00:00:00"/>
  </r>
  <r>
    <s v="TX103636"/>
    <d v="2023-12-12T00:00:00"/>
    <s v="AC7725"/>
    <x v="140"/>
    <x v="0"/>
    <n v="22.04"/>
    <s v="AED "/>
    <n v="19.639399999999998"/>
    <n v="-1935685.64"/>
    <s v="Swiggy"/>
    <n v="-987903210"/>
    <s v="swiggy@biz.com"/>
    <s v="Dining"/>
    <s v="Restaurant"/>
    <s v="UK"/>
    <x v="3"/>
    <n v="999815"/>
    <s v="XXXX-XXXX-XXXX-3759"/>
    <s v="neha.sharma@example.com"/>
    <n v="2139885200"/>
    <s v="No"/>
    <s v="Cashback Credited"/>
    <d v="1905-07-08T00:00:00"/>
  </r>
  <r>
    <s v="TX102920"/>
    <d v="2025-08-08T00:00:00"/>
    <s v="AC2316"/>
    <x v="202"/>
    <x v="2"/>
    <n v="13.98"/>
    <s v="GBP"/>
    <n v="93.613100000000003"/>
    <n v="-1640253.31"/>
    <s v="Walmart"/>
    <n v="5972118955"/>
    <s v="walmart@biz.com"/>
    <s v="Automotive"/>
    <s v="Repair"/>
    <s v="UAE"/>
    <x v="4"/>
    <n v="762911"/>
    <s v="XXXX-XXXX-7803"/>
    <s v="rahul.roy@hotmail.com"/>
    <n v="2321154896"/>
    <s v="No"/>
    <s v="Chargeback Requested"/>
    <d v="1905-07-17T00:00:00"/>
  </r>
  <r>
    <s v="TX105126"/>
    <d v="2025-08-01T00:00:00"/>
    <s v="AC4248"/>
    <x v="203"/>
    <x v="1"/>
    <n v="-23.84"/>
    <s v="inr"/>
    <n v="1"/>
    <n v="-2677860.29"/>
    <s v="ShopEasy"/>
    <n v="4512671410"/>
    <s v="shopeasy@biz.com"/>
    <s v="Clothing"/>
    <s v="Men"/>
    <s v="India"/>
    <x v="5"/>
    <n v="192663"/>
    <s v="XXXX-XXXX-6697"/>
    <s v="uma.roy@yahoo.com"/>
    <n v="1340687434"/>
    <s v="No"/>
    <s v="Repeat Purchase"/>
    <d v="2024-01-23T00:00:00"/>
  </r>
  <r>
    <s v="TX105102"/>
    <d v="2024-03-07T00:00:00"/>
    <s v="AC3003"/>
    <x v="180"/>
    <x v="0"/>
    <n v="44.61"/>
    <s v="USD"/>
    <n v="78.503699999999995"/>
    <n v="-2653680.9900000002"/>
    <s v="ElectroWorld"/>
    <n v="2488500311"/>
    <s v="electroworld@biz.com"/>
    <s v="Education"/>
    <s v="Course"/>
    <s v="India"/>
    <x v="8"/>
    <n v="386143"/>
    <s v="XXXX-XXXX-XXXX-5586"/>
    <s v="amit.kumar@yahoo.com"/>
    <n v="-644766242"/>
    <s v="No"/>
    <s v="Monthly Subscription"/>
    <d v="2025-09-01T00:00:00"/>
  </r>
  <r>
    <s v="TX102512"/>
    <d v="2025-07-09T00:00:00"/>
    <s v="AC9275"/>
    <x v="204"/>
    <x v="0"/>
    <n v="63.99"/>
    <s v="inr"/>
    <n v="1"/>
    <n v="-1500841.61"/>
    <s v="LocalMart"/>
    <n v="-3438085260"/>
    <s v="localmart@biz.com"/>
    <s v="Dining"/>
    <s v="Restaurant"/>
    <s v="UAE"/>
    <x v="5"/>
    <n v="226913"/>
    <s v="XXXX-XXXX-XXXX-5332"/>
    <s v="maya.iyer@gmail.com"/>
    <n v="6742736282"/>
    <s v="No"/>
    <s v="Promo Applied"/>
    <d v="1905-07-12T00:00:00"/>
  </r>
  <r>
    <s v="TX101016"/>
    <d v="2025-07-03T00:00:00"/>
    <s v="AC1782"/>
    <x v="205"/>
    <x v="0"/>
    <n v="-15.15"/>
    <s v="GBP"/>
    <n v="95.180700000000002"/>
    <n v="-541356.34"/>
    <s v="Walmart"/>
    <n v="1671848625"/>
    <s v="walmart@biz.com"/>
    <s v="Groceries"/>
    <s v="Specialty"/>
    <s v="India"/>
    <x v="8"/>
    <n v="746527"/>
    <s v="XXXX-XXXX-XXXX-9131"/>
    <s v="sam.bose@hotmail.com"/>
    <n v="4385729030"/>
    <s v="No"/>
    <s v="Repeat Purchase"/>
    <d v="2017-03-28T00:00:00"/>
  </r>
  <r>
    <s v="TX102724"/>
    <d v="2024-07-02T00:00:00"/>
    <s v="AC9223"/>
    <x v="18"/>
    <x v="1"/>
    <n v="349.01"/>
    <s v="GBP"/>
    <n v="104.7129"/>
    <n v="-1604206.37"/>
    <s v="Starbucks"/>
    <n v="4451939954"/>
    <s v="starbucks@biz.com"/>
    <s v="Utilities"/>
    <s v="Water"/>
    <s v="UAE"/>
    <x v="8"/>
    <n v="335672"/>
    <s v="XXXX-XXXX-XXXX-7926"/>
    <s v="raj.patel@hotmail.com"/>
    <n v="-7262098527"/>
    <s v="No"/>
    <s v="Manual Adjustment"/>
    <d v="2022-11-04T00:00:00"/>
  </r>
  <r>
    <s v="TX102097"/>
    <d v="2025-07-07T00:00:00"/>
    <s v="AC3606"/>
    <x v="162"/>
    <x v="0"/>
    <n v="9.15"/>
    <s v="USD"/>
    <n v="75.465100000000007"/>
    <n v="-1200017.77"/>
    <s v="Starbucks"/>
    <n v="627660017"/>
    <s v="starbucks@biz.com"/>
    <s v="Entertainment"/>
    <s v="Concert"/>
    <s v="UK"/>
    <x v="4"/>
    <n v="637684"/>
    <s v="XXXX-XXXX-XXXX-8030"/>
    <s v="rahul.das@yahoo.com"/>
    <n v="5014501962"/>
    <s v="No"/>
    <s v="Promo Applied"/>
    <d v="2017-08-01T00:00:00"/>
  </r>
  <r>
    <s v="TX105292"/>
    <d v="2023-10-11T00:00:00"/>
    <s v="AC3133"/>
    <x v="206"/>
    <x v="2"/>
    <n v="5.5"/>
    <s v="inr"/>
    <n v="1"/>
    <n v="-2772862.22"/>
    <s v="AutoZone"/>
    <n v="4402634470"/>
    <s v="autozone@biz.com"/>
    <s v="Dining"/>
    <s v="FastFood"/>
    <s v="UAE"/>
    <x v="10"/>
    <n v="412347"/>
    <s v="XXXX-XXXX-XXXX-2034"/>
    <s v="ritu.chopra@example.com"/>
    <n v="697940202"/>
    <s v="No"/>
    <s v="Repeat Purchase"/>
    <d v="2020-03-11T00:00:00"/>
  </r>
  <r>
    <s v="TX101611"/>
    <d v="2025-02-07T00:00:00"/>
    <s v="AC2386"/>
    <x v="207"/>
    <x v="1"/>
    <n v="5.07"/>
    <s v="inr"/>
    <n v="1"/>
    <n v="-1009066.08"/>
    <s v="Amazon"/>
    <n v="6212035096"/>
    <s v="amazon@biz.com"/>
    <s v="Dining"/>
    <s v="Restaurant"/>
    <s v="UAE"/>
    <x v="3"/>
    <n v="558100"/>
    <s v="XXXX-XXXX-6250"/>
    <s v="asha.chopra@hotmail.com"/>
    <n v="3958234954"/>
    <s v="No"/>
    <s v="Monthly Subscription"/>
    <d v="2018-12-01T00:00:00"/>
  </r>
  <r>
    <s v="TX100936"/>
    <d v="2024-06-11T00:00:00"/>
    <s v="AC1928"/>
    <x v="208"/>
    <x v="2"/>
    <n v="9.7200000000000006"/>
    <s v="AED"/>
    <n v="21.652799999999999"/>
    <n v="-530000.52"/>
    <s v="Starbucks"/>
    <n v="2421026890"/>
    <s v="starbucks@biz.com"/>
    <s v="Utilities"/>
    <s v="Electricity"/>
    <s v="Australia"/>
    <x v="0"/>
    <n v="272506"/>
    <s v="XXXX-XXXX-5652"/>
    <s v="vikram.gupta@hotmail.com"/>
    <n v="5120387252"/>
    <s v="No"/>
    <s v="Monthly Subscription"/>
    <d v="1905-07-08T00:00:00"/>
  </r>
  <r>
    <s v="TX105332"/>
    <d v="2025-07-05T00:00:00"/>
    <s v="AC8234"/>
    <x v="209"/>
    <x v="0"/>
    <n v="45.03"/>
    <s v="GBP"/>
    <n v="98.313199999999995"/>
    <n v="-2773664.54"/>
    <s v="ElectroWorld"/>
    <n v="-3128289494"/>
    <s v="electroworld@biz.com"/>
    <s v="Dining"/>
    <s v="Restaurant"/>
    <s v="Australia"/>
    <x v="3"/>
    <n v="637695"/>
    <s v="XXXX-XXXX-6125"/>
    <s v="uma.bose@hotmail.com"/>
    <n v="-9531260042"/>
    <s v="No"/>
    <s v="Suspected Fraud"/>
    <d v="2016-02-07T00:00:00"/>
  </r>
  <r>
    <s v="TX101298"/>
    <d v="2025-06-06T00:00:00"/>
    <s v="AC8819"/>
    <x v="113"/>
    <x v="0"/>
    <n v="45.64"/>
    <s v="USD"/>
    <n v="74.774199999999993"/>
    <n v="-965006.4"/>
    <s v="Flipkart"/>
    <n v="7165838299"/>
    <s v="flipkart@biz.com"/>
    <s v="Health"/>
    <s v="Pharmacy"/>
    <s v="UAE"/>
    <x v="0"/>
    <n v="535996"/>
    <s v="XXXX-XXXX-6072"/>
    <s v="sana.reddy@yahoo.com"/>
    <n v="-585268298"/>
    <s v="No"/>
    <s v="Repeat Purchase"/>
    <d v="2018-08-01T00:00:00"/>
  </r>
  <r>
    <s v="TX101942"/>
    <d v="2023-03-10T00:00:00"/>
    <s v="AC3859"/>
    <x v="175"/>
    <x v="0"/>
    <n v="45.74"/>
    <s v="AED"/>
    <n v="20.3078"/>
    <n v="-1169035.71"/>
    <s v="Swiggy"/>
    <n v="6601960349"/>
    <s v="swiggy@biz.com"/>
    <s v="Dining"/>
    <s v="FastFood"/>
    <s v="Australia"/>
    <x v="10"/>
    <n v="298571"/>
    <n v="4921520000000000"/>
    <s v="anita.chopra@example.com"/>
    <n v="2403516324"/>
    <s v="No"/>
    <s v="Monthly Subscription"/>
    <d v="1905-07-07T00:00:00"/>
  </r>
  <r>
    <s v="TX103572"/>
    <d v="2025-07-08T00:00:00"/>
    <s v="AC4838"/>
    <x v="85"/>
    <x v="1"/>
    <n v="48.66"/>
    <s v="AED"/>
    <n v="18.0563"/>
    <n v="-1985141.3"/>
    <s v="Swiggy"/>
    <n v="4252197053"/>
    <s v="swiggy@biz.com"/>
    <s v="Clothing"/>
    <s v="Men"/>
    <s v="USA"/>
    <x v="1"/>
    <n v="310906"/>
    <s v="XXXX-XXXX-1898"/>
    <s v="suresh.mehta@example.com"/>
    <n v="1380967383"/>
    <s v="No"/>
    <s v="Chargeback Requested"/>
    <d v="1905-07-12T00:00:00"/>
  </r>
  <r>
    <s v="TX104285"/>
    <d v="2023-11-12T00:00:00"/>
    <s v="AC7411"/>
    <x v="4"/>
    <x v="1"/>
    <n v="42.26"/>
    <s v="USD"/>
    <n v="76.073499999999996"/>
    <n v="-2308150.2799999998"/>
    <s v="ShopEasy"/>
    <n v="153513554"/>
    <s v="shopeasy@biz.com"/>
    <s v="Entertainment"/>
    <s v="Streaming"/>
    <s v="UK"/>
    <x v="6"/>
    <n v="745778"/>
    <s v="XXXX-XXXX-9579"/>
    <s v="priya.singh@gmail.com"/>
    <n v="7265689099"/>
    <s v="No"/>
    <s v="Suspected Fraud"/>
    <d v="1905-07-07T00:00:00"/>
  </r>
  <r>
    <s v="TX103594"/>
    <d v="2024-02-06T00:00:00"/>
    <s v="AC4686"/>
    <x v="210"/>
    <x v="1"/>
    <n v="150.07"/>
    <s v="GBP "/>
    <n v="107.85590000000001"/>
    <n v="-1931427.08"/>
    <s v="Zomato"/>
    <n v="-6568912807"/>
    <s v="zomato@biz.com"/>
    <s v="Automotive"/>
    <s v="Fuel"/>
    <s v="USA"/>
    <x v="4"/>
    <n v="934581"/>
    <s v="XXXX-XXXX-XXXX-7253"/>
    <s v="sam.patel@yahoo.com"/>
    <n v="720534043"/>
    <s v="No"/>
    <s v="Manual Adjustment"/>
    <d v="2015-04-11T00:00:00"/>
  </r>
  <r>
    <s v="TX101083"/>
    <d v="2023-12-09T00:00:00"/>
    <s v="AC6380"/>
    <x v="87"/>
    <x v="1"/>
    <n v="400.25"/>
    <s v="AED"/>
    <n v="20.1936"/>
    <n v="-554337.69999999995"/>
    <s v="Amazon"/>
    <n v="-4387810551"/>
    <s v="amazon@biz.com"/>
    <s v="Entertainment"/>
    <s v="Streaming"/>
    <s v="Australia"/>
    <x v="7"/>
    <n v="540644"/>
    <m/>
    <s v="anita.gupta@yahoo.com"/>
    <n v="4843012560"/>
    <s v="No"/>
    <s v="Chargeback Requested"/>
    <d v="2025-08-12T00:00:00"/>
  </r>
  <r>
    <s v="TX103180"/>
    <d v="2024-09-08T00:00:00"/>
    <s v="AC3794"/>
    <x v="78"/>
    <x v="0"/>
    <n v="107.14"/>
    <s v="inr"/>
    <n v="1"/>
    <n v="-1712925.45"/>
    <s v="Paytm Mall"/>
    <n v="5391449510"/>
    <s v="paytmmall@biz.com"/>
    <s v="Entertainment"/>
    <s v="Concert"/>
    <s v="Australia"/>
    <x v="8"/>
    <n v="365"/>
    <s v="XXXX-XXXX-XXXX-8147"/>
    <s v="lina.reddy@gmail.com"/>
    <n v="6299229007"/>
    <s v="No"/>
    <s v="Promo Applied"/>
    <d v="2022-02-09T00:00:00"/>
  </r>
  <r>
    <s v="TX105917"/>
    <d v="2024-06-09T00:00:00"/>
    <s v="AC5501"/>
    <x v="211"/>
    <x v="0"/>
    <n v="3.5"/>
    <s v="USD"/>
    <n v="81.968800000000002"/>
    <n v="-2933482.94"/>
    <s v="Walmart"/>
    <n v="850417358"/>
    <s v="walmart@biz.com"/>
    <s v="Groceries"/>
    <s v="Specialty"/>
    <s v="UAE"/>
    <x v="8"/>
    <n v="908622"/>
    <s v="XXXX-XXXX-5781"/>
    <s v="dv.nair@hotmail.com"/>
    <n v="2713652070"/>
    <s v="No"/>
    <s v="Manual Adjustment"/>
    <d v="2025-09-01T00:00:00"/>
  </r>
  <r>
    <s v="TX102782"/>
    <d v="2025-01-01T00:00:00"/>
    <s v="AC1000"/>
    <x v="212"/>
    <x v="0"/>
    <n v="7.82"/>
    <s v="USD"/>
    <n v="74.362099999999998"/>
    <n v="-1617494.1"/>
    <s v="Amazon"/>
    <n v="7416537617"/>
    <s v="amazon@biz.com"/>
    <s v="Electronics"/>
    <s v="Accessory"/>
    <s v="USA"/>
    <x v="6"/>
    <n v="399074"/>
    <s v="XXXX-XXXX-XXXX-1016"/>
    <s v="raj.joshi@gmail.com"/>
    <n v="2263876267"/>
    <s v="No"/>
    <s v="Cashback Credited"/>
    <d v="1905-07-07T00:00:00"/>
  </r>
  <r>
    <s v="TX100848"/>
    <d v="2025-12-08T00:00:00"/>
    <s v="AC9971"/>
    <x v="213"/>
    <x v="2"/>
    <n v="15.41"/>
    <s v="AED"/>
    <n v="19.2667"/>
    <n v="-481695.5"/>
    <s v="ElectroWorld"/>
    <n v="9755210279"/>
    <s v="electroworld@biz.com"/>
    <s v="Groceries"/>
    <s v="Supermarket"/>
    <s v="India"/>
    <x v="7"/>
    <n v="844600"/>
    <s v="XXXX-XXXX-4197"/>
    <s v="priya.bse@hotmail.com"/>
    <n v="8574625799"/>
    <s v="No"/>
    <s v="Promo Applied"/>
    <d v="2023-10-06T00:00:00"/>
  </r>
  <r>
    <s v="TX102189"/>
    <d v="2025-01-04T00:00:00"/>
    <s v="AC5118"/>
    <x v="106"/>
    <x v="2"/>
    <n v="67.11"/>
    <s v="GBP"/>
    <n v="100.8006"/>
    <n v="-1221696.02"/>
    <s v="Paytm Mall"/>
    <n v="720673717"/>
    <s v="paytmmall@biz.com"/>
    <s v="Groceries"/>
    <s v="Supermarket"/>
    <s v="India"/>
    <x v="10"/>
    <n v="941496"/>
    <s v="XXXX-XXXX-5364"/>
    <s v="arjun.desai@example.com"/>
    <n v="6221884653"/>
    <s v="No"/>
    <s v="Manual Adjustment"/>
    <d v="2016-06-01T00:00:00"/>
  </r>
  <r>
    <s v="TX101892"/>
    <d v="2024-12-09T00:00:00"/>
    <s v="AC1792"/>
    <x v="67"/>
    <x v="0"/>
    <n v="19.62"/>
    <s v="USD"/>
    <n v="81.597099999999998"/>
    <n v="-1162837.32"/>
    <s v="Flipkart"/>
    <n v="9521826377"/>
    <s v="flipkart@biz.com"/>
    <s v="Education"/>
    <s v="Books"/>
    <s v="Canada"/>
    <x v="0"/>
    <n v="368258"/>
    <s v="XXXX-XXXX-2250"/>
    <s v="rohit.khan@example.com"/>
    <n v="166715561"/>
    <s v="No"/>
    <s v="Promo Applied"/>
    <d v="1905-07-14T00:00:00"/>
  </r>
  <r>
    <s v="TX102910"/>
    <d v="2025-10-01T00:00:00"/>
    <s v="AC9848"/>
    <x v="214"/>
    <x v="0"/>
    <n v="17.420000000000002"/>
    <s v="inr"/>
    <n v="1"/>
    <n v="-1639862.41"/>
    <s v="ElectroWorld"/>
    <n v="-6420162350"/>
    <s v="electroworld@biz.com"/>
    <s v="Health"/>
    <s v="Pharmacy"/>
    <s v="UAE"/>
    <x v="4"/>
    <n v="866156"/>
    <s v="XXXX-XXXX-2019"/>
    <s v="lina.kumar@gmail.com"/>
    <n v="-5974499641"/>
    <s v="No"/>
    <s v="Monthly Subscription"/>
    <d v="1905-07-14T00:00:00"/>
  </r>
  <r>
    <s v="TX101197"/>
    <d v="2024-11-11T00:00:00"/>
    <s v="AC5183"/>
    <x v="98"/>
    <x v="2"/>
    <n v="64.260000000000005"/>
    <s v="AED"/>
    <n v="20.562799999999999"/>
    <n v="-593352.65"/>
    <s v="LocalMart"/>
    <n v="4321314614"/>
    <s v="localmart@biz.com"/>
    <s v="Education"/>
    <s v="Course"/>
    <s v="UAE"/>
    <x v="0"/>
    <n v="300164"/>
    <n v="4077390000000000"/>
    <s v="asha.mehta@example.com"/>
    <n v="3879571390"/>
    <s v="No"/>
    <s v="Promo Applied"/>
    <d v="1905-07-16T00:00:00"/>
  </r>
  <r>
    <s v="TX101642"/>
    <d v="2023-04-10T00:00:00"/>
    <s v="AC2889"/>
    <x v="215"/>
    <x v="0"/>
    <n v="30.1"/>
    <s v="USD"/>
    <n v="73.909300000000002"/>
    <n v="-1076518"/>
    <s v="Reliance"/>
    <n v="8529116679"/>
    <s v="reliance@biz.com"/>
    <s v="Health"/>
    <s v="Pharmacy"/>
    <s v="Canada"/>
    <x v="8"/>
    <n v="554911"/>
    <s v="XXXX-XXXX-XXXX-1760"/>
    <s v="rahul.singh@example.com"/>
    <n v="-7957211539"/>
    <s v="No"/>
    <s v="Cashback Credited"/>
    <d v="2018-04-01T00:00:00"/>
  </r>
  <r>
    <s v="TX102223"/>
    <d v="2025-10-08T00:00:00"/>
    <s v="AC7886"/>
    <x v="148"/>
    <x v="0"/>
    <n v="26.64"/>
    <s v="GBP"/>
    <n v="99.625500000000002"/>
    <n v="-1269682.3600000001"/>
    <s v="LocalMart"/>
    <n v="8753343847"/>
    <s v="localmart@biz.com"/>
    <s v="Groceries"/>
    <s v="Specialty"/>
    <s v="UAE"/>
    <x v="4"/>
    <n v="170533"/>
    <s v="XXXX-XXXX-3838"/>
    <s v="karan.das@example.com"/>
    <n v="9600449721"/>
    <s v="No"/>
    <s v="Monthly Subscription"/>
    <d v="2021-08-01T00:00:00"/>
  </r>
  <r>
    <s v="TX103922"/>
    <d v="2024-11-07T00:00:00"/>
    <s v="AC7980"/>
    <x v="40"/>
    <x v="0"/>
    <n v="21.85"/>
    <s v="AED"/>
    <n v="21.325700000000001"/>
    <n v="-2120734.2799999998"/>
    <s v="Zomato"/>
    <n v="9206834654"/>
    <s v="zomato@biz.com"/>
    <s v="Dining"/>
    <s v="FastFood"/>
    <s v="UK"/>
    <x v="10"/>
    <n v="857511"/>
    <s v="XXXX-XXXX-XXXX-3958"/>
    <s v="isha.desai@hotmail.com"/>
    <n v="2607204622"/>
    <s v="No"/>
    <s v="Promo Applied"/>
    <d v="2021-06-22T00:00:00"/>
  </r>
  <r>
    <s v="TX104350"/>
    <d v="2024-08-04T00:00:00"/>
    <s v="AC8314"/>
    <x v="23"/>
    <x v="0"/>
    <n v="2.88"/>
    <s v="inr"/>
    <n v="1"/>
    <n v="-2419593.25"/>
    <s v="LocalMart"/>
    <n v="1955940995"/>
    <s v="localmart@biz.com"/>
    <s v="Dining"/>
    <s v="Cafe"/>
    <s v="Australia"/>
    <x v="10"/>
    <n v="250878"/>
    <n v="4699800000000000"/>
    <s v="vikram.reddy@gmail.com"/>
    <n v="8976029922"/>
    <s v="No"/>
    <s v="Repeat Purchase"/>
    <d v="2018-05-28T00:00:00"/>
  </r>
  <r>
    <s v="TX102887"/>
    <d v="2024-11-10T00:00:00"/>
    <s v="AC9870"/>
    <x v="138"/>
    <x v="0"/>
    <n v="175.21"/>
    <s v="GBP"/>
    <n v="106.4945"/>
    <n v="-1627112.49"/>
    <s v="ShopEasy"/>
    <n v="3395554331"/>
    <s v="shopeasy@biz.com"/>
    <s v="Electronics"/>
    <s v="Mobile"/>
    <s v="India"/>
    <x v="6"/>
    <n v="610130"/>
    <s v="XXXX-XXXX-6771"/>
    <s v="uma.gupta@example.com"/>
    <n v="-7222908638"/>
    <s v="No"/>
    <s v="Chargeback Requested"/>
    <d v="2020-09-12T00:00:00"/>
  </r>
  <r>
    <s v="TX100805"/>
    <d v="2025-03-08T00:00:00"/>
    <s v="AC1453"/>
    <x v="183"/>
    <x v="0"/>
    <n v="22.85"/>
    <s v="inr"/>
    <n v="1"/>
    <n v="-447358.67"/>
    <s v="Flipkart"/>
    <n v="7393795881"/>
    <s v="flipkart@biz.com"/>
    <s v="Health"/>
    <s v="Clinic"/>
    <s v="Canada"/>
    <x v="0"/>
    <n v="795"/>
    <n v="4767040000000000"/>
    <s v="ritu.nair@example.com"/>
    <n v="9052328630"/>
    <s v="No"/>
    <s v="Suspected Fraud"/>
    <d v="2016-06-01T00:00:00"/>
  </r>
  <r>
    <s v="TX102085"/>
    <d v="2025-11-05T00:00:00"/>
    <s v="AC8736"/>
    <x v="45"/>
    <x v="0"/>
    <n v="7.65"/>
    <s v="USD"/>
    <n v="74.825100000000006"/>
    <n v="-1199688.94"/>
    <s v="BigBasket"/>
    <n v="5617693988"/>
    <s v="bigbasket@biz.com"/>
    <s v="Electronics"/>
    <s v="Accessory"/>
    <s v="Canada"/>
    <x v="10"/>
    <n v="619559"/>
    <s v="XXXX-XXXX-2421"/>
    <s v="amit.iyer@hotmail.com"/>
    <n v="-4747629031"/>
    <s v="No"/>
    <s v="Suspected Fraud"/>
    <d v="2018-02-03T00:00:00"/>
  </r>
  <r>
    <s v="TX102927"/>
    <d v="2025-12-05T00:00:00"/>
    <s v="AC3406"/>
    <x v="216"/>
    <x v="0"/>
    <n v="42.85"/>
    <s v="inr"/>
    <n v="1"/>
    <n v="-1640339.49"/>
    <s v="Amazon"/>
    <n v="9339236032"/>
    <s v="amazon@biz.com"/>
    <s v="Clothing"/>
    <s v="Women"/>
    <s v="India"/>
    <x v="1"/>
    <n v="100182"/>
    <s v="XXXX-XXXX-XXXX-7894"/>
    <s v="arjun.mehta@example.com"/>
    <n v="-8505448421"/>
    <s v="No"/>
    <s v="Manual Adjustment"/>
    <d v="2021-05-31T00:00:00"/>
  </r>
  <r>
    <s v="TX100526"/>
    <d v="2025-10-03T00:00:00"/>
    <s v="AC7334"/>
    <x v="65"/>
    <x v="0"/>
    <n v="4.7"/>
    <s v="inr"/>
    <n v="1"/>
    <n v="-276325.38"/>
    <s v="Zomato"/>
    <n v="-7019164318"/>
    <s v="zomato@biz.com"/>
    <s v="Travel"/>
    <s v="Flight"/>
    <s v="USA"/>
    <x v="1"/>
    <n v="692179"/>
    <s v="XXXX-XXXX-XXXX-1479"/>
    <s v="karan.joshi@yahoo.com"/>
    <n v="5014781392"/>
    <s v="No"/>
    <s v="Promo Applied"/>
    <d v="2023-03-09T00:00:00"/>
  </r>
  <r>
    <s v="TX102136"/>
    <d v="2025-12-08T00:00:00"/>
    <s v="AC8901"/>
    <x v="59"/>
    <x v="0"/>
    <n v="37.42"/>
    <s v="USD"/>
    <n v="80.148600000000002"/>
    <n v="-1214370.56"/>
    <s v="Walmart"/>
    <n v="8613675786"/>
    <s v="walmart@biz.com"/>
    <s v="Dining"/>
    <s v="Cafe"/>
    <s v="Canada"/>
    <x v="10"/>
    <n v="509492"/>
    <s v="XXXX-XXXX-8086"/>
    <s v="anita.singh@yahoocom"/>
    <n v="3193365418"/>
    <s v="No"/>
    <s v="Suspected Fraud"/>
    <d v="1905-07-11T00:00:00"/>
  </r>
  <r>
    <s v="TX102011"/>
    <d v="2024-10-04T00:00:00"/>
    <s v="AC5295"/>
    <x v="217"/>
    <x v="2"/>
    <n v="13.26"/>
    <s v="inr"/>
    <n v="1"/>
    <n v="-1198171.55"/>
    <s v="Flipkart"/>
    <n v="1871974077"/>
    <s v="flipkart@biz.com"/>
    <s v="Education"/>
    <s v="Books"/>
    <s v="Canada"/>
    <x v="3"/>
    <n v="529322"/>
    <s v="XXXX-XXXX-XXXX-2343"/>
    <s v="rohit.gupta@yahoo.com"/>
    <n v="2753028835"/>
    <s v="No"/>
    <s v="Chargeback Requested"/>
    <d v="1905-07-18T00:00:00"/>
  </r>
  <r>
    <s v="TX102048"/>
    <d v="2024-10-08T00:00:00"/>
    <s v="AC3148"/>
    <x v="218"/>
    <x v="0"/>
    <n v="22.34"/>
    <s v="AED"/>
    <n v="20.6358"/>
    <n v="-1198878.3799999999"/>
    <s v="ElectroWorld"/>
    <n v="3419484180"/>
    <s v="electroworld@biz.com"/>
    <s v="Education"/>
    <s v="Books"/>
    <s v="UK"/>
    <x v="7"/>
    <n v="253653"/>
    <s v="XXXX-XXXX-4957"/>
    <s v="ritu.roy@gmail.com "/>
    <n v="7246318418"/>
    <s v="No"/>
    <s v="Chargeback Requested"/>
    <d v="2026-03-01T00:00:00"/>
  </r>
  <r>
    <s v="TX103804"/>
    <d v="2023-01-11T00:00:00"/>
    <s v="AC3557"/>
    <x v="3"/>
    <x v="1"/>
    <n v="11.34"/>
    <s v="USD"/>
    <n v="73.381699999999995"/>
    <n v="-2118198.92"/>
    <s v="AutoZone"/>
    <n v="215016757"/>
    <s v="autozone@biz.com"/>
    <s v="Education"/>
    <s v="Books"/>
    <s v="Canada"/>
    <x v="6"/>
    <n v="212795"/>
    <s v="XXXX-XXXX-1385"/>
    <s v="sana.kumar@example.com"/>
    <n v="-211786641"/>
    <s v="No"/>
    <s v="Repeat Purchase"/>
    <d v="2021-08-01T00:00:00"/>
  </r>
  <r>
    <s v="TX105450"/>
    <d v="2025-09-04T00:00:00"/>
    <s v="AC7648"/>
    <x v="137"/>
    <x v="0"/>
    <n v="19.489999999999998"/>
    <s v="GBP"/>
    <n v="105.9195"/>
    <n v="-2825028.88"/>
    <s v="LocalMart"/>
    <n v="9527347249"/>
    <s v="localmart@biz.com"/>
    <s v="Travel"/>
    <s v="Flight"/>
    <s v="UK"/>
    <x v="2"/>
    <n v="854522"/>
    <s v="XXXX-XXXX-XXXX-2995"/>
    <s v="isha.iyer@hotmail.com"/>
    <n v="5334187609"/>
    <s v="No"/>
    <s v="Suspected Fraud"/>
    <d v="1905-07-15T00:00:00"/>
  </r>
  <r>
    <s v="TX104065"/>
    <d v="2025-07-07T00:00:00"/>
    <s v="AC9088"/>
    <x v="219"/>
    <x v="0"/>
    <n v="15.5"/>
    <s v="GBP"/>
    <n v="95.064899999999994"/>
    <n v="-2231568.5299999998"/>
    <s v="Swiggy"/>
    <n v="6267596434"/>
    <s v="swiggy@biz.com"/>
    <s v="Dining"/>
    <s v="Cafe"/>
    <s v="India"/>
    <x v="4"/>
    <n v="608902"/>
    <s v="XXXX-XXXX-8511"/>
    <s v="karan.singh@yahoo.com"/>
    <n v="6176124472"/>
    <s v="No"/>
    <s v="Cashback Credited"/>
    <d v="2016-03-30T00:00:00"/>
  </r>
  <r>
    <s v="TX104537"/>
    <d v="2025-08-01T00:00:00"/>
    <s v="AC4266"/>
    <x v="201"/>
    <x v="0"/>
    <n v="23.01"/>
    <s v="GBP"/>
    <n v="103.07210000000001"/>
    <n v="-2464198.0299999998"/>
    <s v="Amazon"/>
    <n v="486885867"/>
    <s v="amazon@biz.com"/>
    <s v="Education"/>
    <s v="Books"/>
    <s v="India"/>
    <x v="7"/>
    <n v="453"/>
    <s v="XXXX-XXXX-4728"/>
    <s v="asha.singh@yahoo.com"/>
    <n v="7178791439"/>
    <s v="No"/>
    <s v="Manual Adjustment"/>
    <d v="2023-12-01T00:00:00"/>
  </r>
  <r>
    <s v="TX103342"/>
    <d v="2025-06-01T00:00:00"/>
    <s v="AC6656"/>
    <x v="220"/>
    <x v="0"/>
    <n v="9.66"/>
    <s v="USD"/>
    <n v="80.866200000000006"/>
    <n v="-1809251.87"/>
    <s v="Myntra"/>
    <n v="7607360557"/>
    <s v="myntra@biz.com"/>
    <s v="Dining"/>
    <s v="FastFood"/>
    <s v="Australia"/>
    <x v="5"/>
    <n v="137902"/>
    <s v="XXXX-XXXX-2274"/>
    <s v="maya.nair@yahoo.com"/>
    <n v="4964034765"/>
    <s v="No"/>
    <s v="Chargeback Requested"/>
    <d v="2016-01-07T00:00:00"/>
  </r>
  <r>
    <s v="TX102795"/>
    <d v="2024-05-09T00:00:00"/>
    <s v="AC1837"/>
    <x v="96"/>
    <x v="0"/>
    <n v="11.96"/>
    <s v="USD"/>
    <n v="77.989800000000002"/>
    <n v="-1624202.34"/>
    <s v="LocalMart"/>
    <n v="8111683447"/>
    <s v="localmart@biz.com"/>
    <s v="Entertainment"/>
    <s v="Movies"/>
    <s v="Canada"/>
    <x v="4"/>
    <n v="954385"/>
    <s v="XXXX-XXXX-6561"/>
    <s v="arjun.nair@gmail.com"/>
    <n v="-1647002540"/>
    <s v="No"/>
    <s v="Repeat Purchase"/>
    <d v="2017-02-01T00:00:00"/>
  </r>
  <r>
    <s v="TX104963"/>
    <d v="2025-08-04T00:00:00"/>
    <s v="AC5485"/>
    <x v="203"/>
    <x v="0"/>
    <n v="47.98"/>
    <s v="GBP"/>
    <n v="102.1752"/>
    <n v="-2607529.0099999998"/>
    <s v="Flipkart"/>
    <n v="2247871021"/>
    <s v="flipkart@biz.com"/>
    <s v="Health"/>
    <s v="Clinic"/>
    <s v="Australia"/>
    <x v="6"/>
    <n v="641796"/>
    <s v="XXXX-XXXX-6914"/>
    <s v="uma.royhotmail.com"/>
    <n v="3413322508"/>
    <s v="No"/>
    <s v="Manual Adjustment"/>
    <d v="2020-09-27T00:00:00"/>
  </r>
  <r>
    <s v="TX102164"/>
    <d v="2024-10-04T00:00:00"/>
    <s v="AC9753"/>
    <x v="221"/>
    <x v="0"/>
    <n v="-220.67"/>
    <s v="AED"/>
    <n v="19.951499999999999"/>
    <n v="-1214741.3700000001"/>
    <s v="Myntra"/>
    <n v="6182057347"/>
    <s v="myntra@biz.com"/>
    <s v="Travel"/>
    <s v="Hotel"/>
    <s v="UK"/>
    <x v="2"/>
    <n v="124242"/>
    <s v="XXXX-XXXX-XXXX-8910"/>
    <s v="karan.mehta@example.com"/>
    <n v="8176647157"/>
    <s v="No"/>
    <s v="Cashback Credited"/>
    <d v="2015-06-01T00:00:00"/>
  </r>
  <r>
    <s v="TX102752"/>
    <d v="2025-03-08T00:00:00"/>
    <s v="AC8611"/>
    <x v="217"/>
    <x v="1"/>
    <n v="18.940000000000001"/>
    <s v="inr"/>
    <n v="1"/>
    <n v="-1616999.69"/>
    <s v="BigBasket"/>
    <n v="3905398363"/>
    <s v="bigbasket@biz.com"/>
    <s v="Automotive"/>
    <s v="Fuel"/>
    <s v="USA"/>
    <x v="5"/>
    <n v="770054"/>
    <s v="XXXX-XXXX-XXXX-6747"/>
    <s v="rohit.gupta@gmail.com"/>
    <n v="-5407013920"/>
    <s v="No"/>
    <s v="Chargeback Requested"/>
    <d v="2018-12-01T00:00:00"/>
  </r>
  <r>
    <s v="TX105634"/>
    <d v="2024-08-06T00:00:00"/>
    <s v="AC7008"/>
    <x v="114"/>
    <x v="1"/>
    <n v="12.95"/>
    <s v="AED"/>
    <n v="21.450700000000001"/>
    <n v="-2873378.6"/>
    <s v="ElectroWorld"/>
    <n v="3180444546"/>
    <s v="electroworld@biz.com"/>
    <s v="Utilities"/>
    <s v="Internet"/>
    <s v="Canada"/>
    <x v="4"/>
    <n v="474"/>
    <s v="XXXX-XXXX-1659"/>
    <s v="dev.sharma@example.com"/>
    <n v="4074909435"/>
    <s v="No"/>
    <s v="Promo Applied"/>
    <d v="2024-09-01T00:00:00"/>
  </r>
  <r>
    <s v="TX102227"/>
    <d v="2024-06-10T00:00:00"/>
    <s v="AC1478"/>
    <x v="156"/>
    <x v="0"/>
    <n v="16.11"/>
    <s v="AED"/>
    <n v="21.846599999999999"/>
    <n v="-1269869.8"/>
    <s v="Starbucks"/>
    <n v="8728308791"/>
    <s v="starbucks@biz.com"/>
    <s v="Utilities"/>
    <s v="Internet"/>
    <s v="UK"/>
    <x v="1"/>
    <n v="894935"/>
    <s v="XXXX-XXXX-XXXX-7065"/>
    <s v="maya.khan@hotmail.com"/>
    <n v="1642660304"/>
    <s v="No"/>
    <s v="Promo Applied"/>
    <d v="2018-05-01T00:00:00"/>
  </r>
  <r>
    <s v="TX102752"/>
    <d v="2024-07-08T00:00:00"/>
    <s v="AC8611"/>
    <x v="217"/>
    <x v="1"/>
    <n v="18.940000000000001"/>
    <s v="inr"/>
    <n v="1"/>
    <n v="-1616999.69"/>
    <s v="BigBasket"/>
    <n v="3905398363"/>
    <s v="bigbasket@biz.com"/>
    <s v="Automotive"/>
    <s v="Fuel"/>
    <s v="USA"/>
    <x v="5"/>
    <n v="770054"/>
    <s v="XXXX-XXXX-XXXX-6747"/>
    <s v="rohit.gupta@gmail.com"/>
    <n v="-5407013920"/>
    <s v="No"/>
    <s v="Chargeback Requested"/>
    <d v="2018-12-01T00:00:00"/>
  </r>
  <r>
    <s v="TX104074"/>
    <d v="2024-10-08T00:00:00"/>
    <s v="AC6279"/>
    <x v="10"/>
    <x v="0"/>
    <n v="19.39"/>
    <s v="inr"/>
    <n v="1"/>
    <n v="-2231728.65"/>
    <s v="Flipkart"/>
    <n v="3925611781"/>
    <s v="flipkart@biz.com"/>
    <s v="Electronics"/>
    <s v="Accessory"/>
    <s v="USA"/>
    <x v="1"/>
    <n v="473009"/>
    <s v="XXXX-XXXX-3944"/>
    <s v="dev.chopra@example.com"/>
    <n v="8788491293"/>
    <s v="No"/>
    <s v="Chargeback Requested"/>
    <d v="1905-07-08T00:00:00"/>
  </r>
  <r>
    <s v="TX102682"/>
    <d v="2024-01-11T00:00:00"/>
    <s v="AC7338"/>
    <x v="107"/>
    <x v="1"/>
    <n v="22.3"/>
    <s v="inr"/>
    <n v="1"/>
    <n v="-1561380.68"/>
    <s v="Reliance"/>
    <n v="856038384"/>
    <s v="reliance@biz.com"/>
    <s v="Groceries"/>
    <s v="Supermarket"/>
    <s v="UAE"/>
    <x v="1"/>
    <n v="548229"/>
    <s v="XXXX-XXXX-7195"/>
    <s v="isha.joshi@gmail.com"/>
    <n v="1871974077"/>
    <s v="No"/>
    <s v="Cashback Credited"/>
    <d v="2025-04-10T00:00:00"/>
  </r>
  <r>
    <s v="TX101041"/>
    <d v="2025-08-09T00:00:00"/>
    <s v="AC6281"/>
    <x v="222"/>
    <x v="2"/>
    <n v="19.09"/>
    <s v="inr"/>
    <n v="1"/>
    <n v="-542297.59999999998"/>
    <s v="BigBasket"/>
    <n v="1895403795"/>
    <s v="bigbasket@biz.com"/>
    <s v="Entertainment"/>
    <s v="Movies"/>
    <s v="India"/>
    <x v="8"/>
    <n v="202787"/>
    <s v="XXXX-XXXX-8151"/>
    <s v="rohit.iyer@gmail.com"/>
    <n v="577205778"/>
    <s v="No"/>
    <s v="Promo Applied"/>
    <d v="2020-06-01T00:00:00"/>
  </r>
  <r>
    <s v="TX102764"/>
    <d v="2024-01-01T00:00:00"/>
    <s v="AC4899"/>
    <x v="194"/>
    <x v="2"/>
    <n v="44.87"/>
    <s v="USD"/>
    <n v="78.8613"/>
    <n v="-1617225.33"/>
    <s v="Reliance"/>
    <n v="2967086736"/>
    <s v="reliance@biz.com"/>
    <s v="Entertainment"/>
    <s v="Streaming"/>
    <s v="Australia"/>
    <x v="8"/>
    <n v="301050"/>
    <s v="XXXX-XXXX-XXXX-1598"/>
    <s v="asha.khan@example.com"/>
    <n v="473912950"/>
    <s v="No"/>
    <s v="Monthly Subscription"/>
    <d v="2023-04-01T00:00:00"/>
  </r>
  <r>
    <s v="TX103817"/>
    <d v="2025-10-05T00:00:00"/>
    <s v="AC3853"/>
    <x v="77"/>
    <x v="2"/>
    <n v="28.55"/>
    <s v="USD"/>
    <n v="77.644599999999997"/>
    <n v="-2118415.8199999998"/>
    <s v="ShopEasy"/>
    <n v="7351797057"/>
    <s v="shopeasy@biz.com"/>
    <s v="Groceries"/>
    <s v="Specialty"/>
    <s v="Canada"/>
    <x v="10"/>
    <n v="737515"/>
    <n v="4992230000000000"/>
    <s v="priya.iyer@hotmail.com"/>
    <n v="4773924356"/>
    <s v="No"/>
    <s v="Monthly Subscription"/>
    <d v="1905-07-07T00:00:00"/>
  </r>
  <r>
    <s v="TX102059"/>
    <d v="2025-04-03T00:00:00"/>
    <s v="AC3548"/>
    <x v="97"/>
    <x v="1"/>
    <n v="41.78"/>
    <s v="USD"/>
    <n v="82.966899999999995"/>
    <n v="-1199065.06"/>
    <s v="AutoZone"/>
    <n v="3305875638"/>
    <s v="autozone@biz.com"/>
    <s v="Automotive"/>
    <s v="Repair"/>
    <s v="India"/>
    <x v="5"/>
    <n v="690"/>
    <n v="4817460000000000"/>
    <s v="vikram.bose@gmail.com"/>
    <n v="6585042040"/>
    <s v="No"/>
    <s v="Suspected Fraud"/>
    <d v="2018-12-12T00:00:00"/>
  </r>
  <r>
    <s v="TX104387"/>
    <d v="2025-01-09T00:00:00"/>
    <s v="AC4966"/>
    <x v="223"/>
    <x v="0"/>
    <n v="5.93"/>
    <s v="inr"/>
    <n v="1"/>
    <n v="-2428056.4300000002"/>
    <s v="AutoZone"/>
    <n v="1127443428"/>
    <s v="autozone@biz.com"/>
    <s v="Travel"/>
    <s v="Hotel"/>
    <s v="Australia"/>
    <x v="8"/>
    <n v="382353"/>
    <s v="XXXX-XXXX-5930"/>
    <s v="karan.chopra@gmail.com"/>
    <n v="4853405684"/>
    <s v="No"/>
    <s v="Repeat Purchase"/>
    <d v="1905-07-16T00:00:00"/>
  </r>
  <r>
    <s v="TX102398"/>
    <d v="2024-09-12T00:00:00"/>
    <s v="AC9769"/>
    <x v="128"/>
    <x v="1"/>
    <n v="42.47"/>
    <s v="GBP"/>
    <n v="93.9876"/>
    <n v="-1288647"/>
    <s v="ElectroWorld"/>
    <n v="512163533"/>
    <s v="electroworld@biz.com"/>
    <s v="Health"/>
    <s v="Pharmacy"/>
    <s v="UK"/>
    <x v="2"/>
    <n v="853405"/>
    <s v="XXXX-XXXX-XXXX-6614"/>
    <s v="vikram.roy@hotmail.com"/>
    <n v="-8181542703"/>
    <s v="No"/>
    <s v="Monthly Subscription"/>
    <d v="2023-09-01T00:00:00"/>
  </r>
  <r>
    <s v="TX103285"/>
    <d v="2025-06-04T00:00:00"/>
    <s v="AC3776"/>
    <x v="54"/>
    <x v="0"/>
    <n v="201.16"/>
    <s v="GBP"/>
    <n v="100.7325"/>
    <n v="-1807197.5"/>
    <s v="Reliance"/>
    <n v="3930351843"/>
    <s v="reliance@biz.com"/>
    <s v="Travel"/>
    <s v="Taxi"/>
    <s v="USA"/>
    <x v="10"/>
    <n v="799449"/>
    <s v="XXXX-XXXX-2357"/>
    <s v="priya.das@gmail.com"/>
    <n v="8435552594"/>
    <s v="Yes"/>
    <s v="Manual Adjustment"/>
    <d v="1905-07-15T00:00:00"/>
  </r>
  <r>
    <s v="TX103413"/>
    <d v="2024-06-12T00:00:00"/>
    <s v="AC7736"/>
    <x v="186"/>
    <x v="0"/>
    <n v="12.2"/>
    <s v="inr"/>
    <n v="1"/>
    <n v="-1825660.73"/>
    <s v="Zomato"/>
    <n v="5014781392"/>
    <s v="zomato@biz.com"/>
    <s v="Groceries"/>
    <s v="Supermarket"/>
    <s v="Australia"/>
    <x v="10"/>
    <n v="921606"/>
    <s v="XXXX-XXXX-6581"/>
    <s v="arjun.singh@gmail.com"/>
    <n v="4137734805"/>
    <s v="No"/>
    <s v="Manual Adjustment"/>
    <d v="1905-07-12T00:00:00"/>
  </r>
  <r>
    <s v="TX105487"/>
    <d v="2023-11-12T00:00:00"/>
    <s v="AC2859"/>
    <x v="224"/>
    <x v="1"/>
    <n v="55.37"/>
    <s v="GBP "/>
    <n v="107.9408"/>
    <n v="-2825996.27"/>
    <s v="Zomato"/>
    <n v="2884957790"/>
    <s v="zomato@biz.com"/>
    <s v="Dining"/>
    <s v="Restaurant"/>
    <s v="UK"/>
    <x v="7"/>
    <n v="604185"/>
    <s v="XXXX-XXXX-1058"/>
    <s v="raj.sharma@yahoo.com"/>
    <n v="2684940642"/>
    <s v="No"/>
    <s v="Manual Adjustment"/>
    <d v="2025-06-04T00:00:00"/>
  </r>
  <r>
    <s v="TX100076"/>
    <d v="2024-04-09T00:00:00"/>
    <s v="AC8097"/>
    <x v="65"/>
    <x v="0"/>
    <n v="36.76"/>
    <s v="USD"/>
    <n v="75.051699999999997"/>
    <n v="-144674.53"/>
    <s v="Zomato"/>
    <n v="8136939914"/>
    <s v="zomato@biz.com"/>
    <s v="Entertainment"/>
    <s v="Streaming"/>
    <s v="India"/>
    <x v="8"/>
    <n v="231729"/>
    <s v="XXXX-XXXX-XXXX-2730"/>
    <s v="karan.joshi@gmail.com"/>
    <n v="3269796330"/>
    <s v="No"/>
    <s v="Promo Applied"/>
    <d v="1905-07-11T00:00:00"/>
  </r>
  <r>
    <s v="TX101799"/>
    <d v="2024-10-07T00:00:00"/>
    <s v="AC8477"/>
    <x v="26"/>
    <x v="1"/>
    <n v="33.97"/>
    <s v="inr"/>
    <n v="1"/>
    <n v="-1130970.1200000001"/>
    <s v="Starbucks"/>
    <n v="3839730680"/>
    <s v="starbucks@biz.com"/>
    <s v="Utilities"/>
    <s v="Electricity"/>
    <s v="UK"/>
    <x v="8"/>
    <n v="347473"/>
    <s v="XXXX-XXXX-7506"/>
    <s v="amit.reddy@yahoo.com"/>
    <n v="8053981855"/>
    <s v="No"/>
    <s v="Manual Adjustment"/>
    <d v="2023-02-01T00:00:00"/>
  </r>
  <r>
    <s v="TX100192"/>
    <d v="2025-07-03T00:00:00"/>
    <s v="AC4540"/>
    <x v="186"/>
    <x v="1"/>
    <n v="42.82"/>
    <s v="inr"/>
    <n v="1"/>
    <n v="-163731.01999999999"/>
    <s v="AutoZone"/>
    <n v="-3495847772"/>
    <s v="autozone@biz.com"/>
    <s v="Education"/>
    <s v="Books"/>
    <s v="India"/>
    <x v="7"/>
    <n v="637725"/>
    <n v="4768340000000000"/>
    <s v="arjun.singh@yahoo.com"/>
    <n v="12228129"/>
    <s v="Yess"/>
    <s v="Promo Applied"/>
    <d v="1905-07-16T00:00:00"/>
  </r>
  <r>
    <s v="TX104359"/>
    <d v="2024-06-02T00:00:00"/>
    <s v="AC7287"/>
    <x v="19"/>
    <x v="0"/>
    <n v="74.91"/>
    <s v="USD"/>
    <n v="75.596800000000002"/>
    <n v="-2419795.36"/>
    <s v="Zomato"/>
    <n v="6027868102"/>
    <s v="zomato@biz.com"/>
    <s v="Education"/>
    <s v="Course"/>
    <s v="Canada"/>
    <x v="3"/>
    <n v="749421"/>
    <s v="XXXX-XXXX-5009"/>
    <s v="uma.mehta@example.com"/>
    <n v="7142785561"/>
    <s v="No"/>
    <s v="Chargeback Requested"/>
    <d v="1905-07-17T00:00:00"/>
  </r>
  <r>
    <s v="TX102681"/>
    <d v="2024-07-07T00:00:00"/>
    <s v="AC2944"/>
    <x v="225"/>
    <x v="1"/>
    <n v="23.05"/>
    <s v="GBP"/>
    <n v="104.3047"/>
    <n v="-1561369.53"/>
    <s v="LocalMart"/>
    <n v="6143989178"/>
    <s v="localmart@biz.com"/>
    <s v="Education"/>
    <s v="Books"/>
    <s v="Canada"/>
    <x v="8"/>
    <n v="531"/>
    <s v="XXXX-XXXX-9494"/>
    <s v="karan.nair@yahoo.com"/>
    <n v="7105119333"/>
    <s v="No"/>
    <s v="Monthly Subscription"/>
    <d v="2023-02-10T00:00:00"/>
  </r>
  <r>
    <s v="TX101432"/>
    <d v="2025-08-05T00:00:00"/>
    <s v="AC8858"/>
    <x v="205"/>
    <x v="0"/>
    <n v="93"/>
    <s v="USD"/>
    <n v="74.748500000000007"/>
    <n v="-976204.81"/>
    <s v="Flipkart"/>
    <n v="1884578293"/>
    <s v="flipkart@biz.com"/>
    <s v="Groceries"/>
    <s v="Specialty"/>
    <s v="USA"/>
    <x v="1"/>
    <n v="649591"/>
    <m/>
    <s v="sam.bose@gmail.com"/>
    <n v="-4542777099"/>
    <s v="No"/>
    <s v="Suspected Fraud"/>
    <d v="1905-07-16T00:00:00"/>
  </r>
  <r>
    <s v="TX105227"/>
    <d v="2024-05-06T00:00:00"/>
    <s v="AC8256"/>
    <x v="214"/>
    <x v="0"/>
    <n v="54.54"/>
    <s v="USD"/>
    <n v="76.312299999999993"/>
    <n v="-2681636.7400000002"/>
    <s v="Amazon"/>
    <n v="-478820053"/>
    <s v="amazon@biz.com"/>
    <s v="Travel"/>
    <s v="Hotel"/>
    <s v="Australia"/>
    <x v="1"/>
    <n v="526925"/>
    <m/>
    <s v="lina.kumar@gmail.com"/>
    <n v="4977315189"/>
    <s v="No"/>
    <s v="Repeat Purchase"/>
    <d v="2022-02-25T00:00:00"/>
  </r>
  <r>
    <s v="TX100649"/>
    <d v="2024-04-06T00:00:00"/>
    <s v="AC2716"/>
    <x v="33"/>
    <x v="1"/>
    <n v="76.36"/>
    <s v="USD"/>
    <n v="82.435199999999995"/>
    <n v="-282019.92"/>
    <s v="ShopEasy"/>
    <n v="3499047268"/>
    <s v="shopeasy@biz.com"/>
    <s v="Utilities"/>
    <s v="Water"/>
    <s v="UAE"/>
    <x v="10"/>
    <n v="784714"/>
    <s v="XXXX-XXXX-XXXX-2454"/>
    <s v="maya.desai@yahoo.com"/>
    <n v="1679570801"/>
    <s v="No"/>
    <s v="Cashback Credited"/>
    <d v="1905-07-14T00:00:00"/>
  </r>
  <r>
    <s v="TX101404"/>
    <d v="2024-04-10T00:00:00"/>
    <s v="AC1612"/>
    <x v="26"/>
    <x v="1"/>
    <n v="109.43"/>
    <s v="inr"/>
    <n v="1"/>
    <n v="-975160.37"/>
    <s v="AutoZone"/>
    <n v="-5367869645"/>
    <s v="autozone@biz.com"/>
    <s v="Utilities"/>
    <s v="Internet"/>
    <s v="India"/>
    <x v="7"/>
    <n v="866217"/>
    <n v="4363030000000000"/>
    <s v="amit.reddy@hotmail.com"/>
    <n v="2657374691"/>
    <s v="No"/>
    <s v="Monthly Subscription"/>
    <d v="1905-07-10T00:00:00"/>
  </r>
  <r>
    <s v="TX105968"/>
    <d v="2024-11-10T00:00:00"/>
    <s v="AC1241"/>
    <x v="226"/>
    <x v="0"/>
    <n v="49.68"/>
    <s v="USD"/>
    <n v="76.880099999999999"/>
    <n v="-2935294.11"/>
    <s v="Starbucks"/>
    <n v="6572050200"/>
    <s v="starbucks@biz.com"/>
    <s v="Travel"/>
    <s v="Taxi"/>
    <s v="Australia"/>
    <x v="1"/>
    <n v="383662"/>
    <s v="XXXX-XXXX-1370"/>
    <s v="arjun.gupta@example.com"/>
    <n v="-886835090"/>
    <s v="No"/>
    <s v="Cashback Credited"/>
    <d v="1905-07-11T00:00:00"/>
  </r>
  <r>
    <s v="TX101534"/>
    <d v="2024-12-11T00:00:00"/>
    <s v="AC7149"/>
    <x v="0"/>
    <x v="2"/>
    <n v="18.93"/>
    <s v="inr"/>
    <n v="1"/>
    <n v="-1000567.21"/>
    <s v="Paytm Mall"/>
    <n v="5405778170"/>
    <s v="paytmmall@biz.com"/>
    <s v="Groceries"/>
    <s v="Specialty"/>
    <s v="UAE"/>
    <x v="0"/>
    <n v="150"/>
    <s v="XXXX-XXXX-9880"/>
    <s v="dev.kumar@gmail.com"/>
    <n v="2221141754"/>
    <s v="No"/>
    <s v="Chargeback Requested"/>
    <d v="2019-06-28T00:00:00"/>
  </r>
  <r>
    <s v="TX104592"/>
    <d v="2024-12-05T00:00:00"/>
    <s v="AC3951"/>
    <x v="227"/>
    <x v="0"/>
    <n v="63.75"/>
    <s v="GBP"/>
    <n v="98.887900000000002"/>
    <n v="-2465660.7599999998"/>
    <s v="Starbucks"/>
    <n v="-8485594349"/>
    <s v="starbucks@biz.com"/>
    <s v="Health"/>
    <s v="Clinic"/>
    <s v="UK"/>
    <x v="10"/>
    <n v="271590"/>
    <s v="XXXX-XXXX-6105"/>
    <s v="suresh.iyer@example.com"/>
    <n v="8830978561"/>
    <s v="No"/>
    <s v="Cashback Credited"/>
    <d v="2019-08-06T00:00:00"/>
  </r>
  <r>
    <s v="TX104573"/>
    <d v="2024-08-07T00:00:00"/>
    <s v="AC2234"/>
    <x v="228"/>
    <x v="1"/>
    <n v="16.420000000000002"/>
    <s v="inr"/>
    <n v="1"/>
    <n v="-2465187.7200000002"/>
    <s v="LocalMart"/>
    <n v="2406066923"/>
    <s v="localmart@biz.com"/>
    <s v="Health"/>
    <s v="Pharmacy"/>
    <s v="UAE"/>
    <x v="2"/>
    <n v="707405"/>
    <s v="XXXX-XXXX-1002"/>
    <s v="karan.patel@hotmail.com"/>
    <n v="4996301891"/>
    <s v="No"/>
    <s v="Monthly Subscription"/>
    <d v="2025-07-08T00:00:00"/>
  </r>
  <r>
    <s v="TX101784"/>
    <d v="2024-10-05T00:00:00"/>
    <s v="AC5917"/>
    <x v="229"/>
    <x v="1"/>
    <n v="36.56"/>
    <s v="GBP"/>
    <n v="103.79640000000001"/>
    <n v="-1130681.6200000001"/>
    <s v="Paytm Mall"/>
    <n v="4385729030"/>
    <s v="paytmmall@biz.com"/>
    <s v="Education"/>
    <s v="Course"/>
    <s v="UK"/>
    <x v="1"/>
    <n v="611925"/>
    <n v="4442100000000000"/>
    <s v="sam.nair@example.com"/>
    <n v="360445804"/>
    <s v="No"/>
    <s v="Repeat Purchase"/>
    <d v="1905-07-14T00:00:00"/>
  </r>
  <r>
    <s v="TX105741"/>
    <d v="2024-09-09T00:00:00"/>
    <s v="AC1386"/>
    <x v="30"/>
    <x v="1"/>
    <n v="10.06"/>
    <s v="AED"/>
    <n v="20.120999999999999"/>
    <n v="-2901930.45"/>
    <s v="Walmart"/>
    <n v="6536219988"/>
    <s v="walmart@biz.com"/>
    <s v="Clothing"/>
    <s v="Women"/>
    <s v="UK"/>
    <x v="7"/>
    <n v="697260"/>
    <s v="XXXX-XXXX-1078"/>
    <s v="sana.sharma@hotmail.com"/>
    <n v="-4850369212"/>
    <s v="Yes"/>
    <s v="Monthly Subscription"/>
    <d v="2021-08-25T00:00:00"/>
  </r>
  <r>
    <s v="TX105908"/>
    <d v="2025-07-09T00:00:00"/>
    <s v="AC7211"/>
    <x v="230"/>
    <x v="0"/>
    <n v="246.07"/>
    <s v="USD"/>
    <n v="72.920500000000004"/>
    <n v="-2933267.15"/>
    <s v="Flipkart"/>
    <n v="7040730817"/>
    <s v="flipkart@biz.com"/>
    <s v="Education"/>
    <s v="Books"/>
    <s v="USA"/>
    <x v="1"/>
    <n v="740569"/>
    <s v="XXXX-XXXX-2097"/>
    <s v="anita.nair@yahoo.com"/>
    <n v="8605794738"/>
    <s v="Yes"/>
    <s v="Promo Applied"/>
    <d v="1905-07-12T00:00:00"/>
  </r>
  <r>
    <s v="TX104366"/>
    <d v="2023-09-10T00:00:00"/>
    <s v="AC7374"/>
    <x v="231"/>
    <x v="0"/>
    <n v="17.62"/>
    <s v="GBP "/>
    <n v="100.884"/>
    <n v="-2420132.13"/>
    <s v="Starbucks"/>
    <n v="3642495923"/>
    <s v="starbucks@biz.com"/>
    <s v="Dining"/>
    <s v="FastFood"/>
    <s v="Australia"/>
    <x v="10"/>
    <n v="296069"/>
    <s v="XXXX-XXXX-5742"/>
    <s v="suresh.gupta@gmail.com"/>
    <n v="2316218982"/>
    <s v="No"/>
    <s v="Cashback Credited"/>
    <d v="2024-05-07T00:00:00"/>
  </r>
  <r>
    <s v="TX105140"/>
    <d v="2025-01-09T00:00:00"/>
    <s v="AC8519"/>
    <x v="180"/>
    <x v="1"/>
    <n v="16.63"/>
    <s v="USD"/>
    <n v="75.002099999999999"/>
    <n v="-2678155.83"/>
    <s v="LocalMart"/>
    <n v="1840252957"/>
    <s v="localmart@biz.com"/>
    <s v="Utilities"/>
    <s v="Water"/>
    <s v="UAE"/>
    <x v="2"/>
    <n v="148476"/>
    <m/>
    <s v="amit.kumar@hotmail.com"/>
    <n v="-9946169102"/>
    <s v="No"/>
    <s v="Chargeback Requested"/>
    <d v="2015-07-21T00:00:00"/>
  </r>
  <r>
    <s v="TX105101"/>
    <d v="2025-06-03T00:00:00"/>
    <s v="AC5697"/>
    <x v="232"/>
    <x v="0"/>
    <n v="60.46"/>
    <s v="USD"/>
    <n v="73.516900000000007"/>
    <n v="-2653658.6800000002"/>
    <s v="Swiggy"/>
    <n v="3892800780"/>
    <s v="swiggy@biz.com"/>
    <s v="Entertainment"/>
    <s v="Streaming"/>
    <s v="USA"/>
    <x v="8"/>
    <n v="452828"/>
    <s v="XXXX-XXXX-1328"/>
    <s v="maya.reddy@example.com"/>
    <n v="9626599449"/>
    <s v="No"/>
    <s v="Monthly Subscription"/>
    <d v="2019-05-01T00:00:00"/>
  </r>
  <r>
    <s v="TX103650"/>
    <d v="2024-01-05T00:00:00"/>
    <s v="AC7591"/>
    <x v="109"/>
    <x v="1"/>
    <n v="54.04"/>
    <s v="USD"/>
    <n v="74.529600000000002"/>
    <n v="-1935845.66"/>
    <s v="ElectroWorld"/>
    <n v="993637613"/>
    <s v="electroworld@biz.com"/>
    <s v="Utilities"/>
    <s v="Electricity"/>
    <s v="India"/>
    <x v="10"/>
    <n v="363778"/>
    <s v="XXXX-XXXX-XXXX-5766"/>
    <s v="uma.dasexample.com"/>
    <n v="-5419708035"/>
    <s v="No"/>
    <s v="Monthly Subscription"/>
    <d v="2016-11-01T00:00:00"/>
  </r>
  <r>
    <s v="TX104455"/>
    <d v="2024-04-07T00:00:00"/>
    <s v="AC7167"/>
    <x v="175"/>
    <x v="0"/>
    <n v="46.83"/>
    <s v="USD"/>
    <n v="82.741299999999995"/>
    <n v="-2462092.58"/>
    <s v="ElectroWorld"/>
    <n v="-8355129330"/>
    <s v="electroworld@biz.com"/>
    <s v="Automotive"/>
    <s v="Repair"/>
    <s v="USA"/>
    <x v="8"/>
    <n v="614319"/>
    <s v="XXXX-XXXX-2145"/>
    <s v="anita.chopra@yahoo.com"/>
    <n v="908844804"/>
    <s v="No"/>
    <s v="Cashback Credited"/>
    <d v="2025-06-06T00:00:00"/>
  </r>
  <r>
    <s v="TX102162"/>
    <d v="2023-02-11T00:00:00"/>
    <s v="AC8331"/>
    <x v="233"/>
    <x v="0"/>
    <n v="60.21"/>
    <s v="GBP"/>
    <n v="98.659499999999994"/>
    <n v="-1214786.6599999999"/>
    <s v="Reliance"/>
    <n v="8768314649"/>
    <s v="reliance@biz.com"/>
    <s v="Groceries"/>
    <s v="Specialty"/>
    <s v="USA"/>
    <x v="3"/>
    <n v="572050"/>
    <s v="XXXX-XXXX-6194"/>
    <s v="rahul.joshi@example.com"/>
    <n v="4661358037"/>
    <s v="No"/>
    <s v="Chargeback Requested"/>
    <d v="1905-07-07T00:00:00"/>
  </r>
  <r>
    <s v="TX105192"/>
    <d v="2024-01-05T00:00:00"/>
    <s v="AC8770"/>
    <x v="138"/>
    <x v="0"/>
    <n v="64.540000000000006"/>
    <s v="GBP"/>
    <n v="90.982500000000002"/>
    <n v="-2680058.0499999998"/>
    <s v="ElectroWorld"/>
    <n v="2617709047"/>
    <s v="electroworld@biz.com"/>
    <s v="Electronics"/>
    <s v="Laptop"/>
    <s v="USA"/>
    <x v="3"/>
    <n v="704935"/>
    <s v="XXXX-XXXX-XXXX-5577"/>
    <s v="uma.gupta@gmail.com"/>
    <n v="1100839113"/>
    <s v="No"/>
    <s v="Chargeback Requested"/>
    <d v="2022-04-10T00:00:00"/>
  </r>
  <r>
    <s v="TX102841"/>
    <d v="2024-03-12T00:00:00"/>
    <s v="AC1868"/>
    <x v="57"/>
    <x v="2"/>
    <n v="5.37"/>
    <s v="inr"/>
    <n v="1"/>
    <n v="-1626240.6"/>
    <s v="ElectroWorld"/>
    <n v="7243432502"/>
    <s v="electroworld@biz.com"/>
    <s v="Groceries"/>
    <s v="Supermarket"/>
    <s v="UK"/>
    <x v="0"/>
    <n v="434440"/>
    <n v="4262640000000000"/>
    <s v="sana.patel@gmail.com"/>
    <n v="4839378812"/>
    <s v="No"/>
    <s v="Manual Adjustment"/>
    <d v="2023-05-19T00:00:00"/>
  </r>
  <r>
    <s v="TX102369"/>
    <d v="2025-02-08T00:00:00"/>
    <s v="AC8113"/>
    <x v="24"/>
    <x v="1"/>
    <n v="145.91"/>
    <s v="GBP"/>
    <n v="99.518799999999999"/>
    <n v="-1284737.81"/>
    <s v="AutoZone"/>
    <n v="-5909522447"/>
    <s v="autozone@biz.com"/>
    <s v="Education"/>
    <s v="Course"/>
    <s v="UK"/>
    <x v="6"/>
    <n v="986979"/>
    <s v="XXXX-XXXX-2552"/>
    <s v="asha.desai@yahoo.com"/>
    <n v="9345065024"/>
    <s v="No"/>
    <s v="Promo Applied"/>
    <d v="2019-03-03T00:00:00"/>
  </r>
  <r>
    <s v="TX101224"/>
    <d v="2025-01-03T00:00:00"/>
    <s v="AC1226"/>
    <x v="168"/>
    <x v="1"/>
    <n v="26.51"/>
    <s v="GBP"/>
    <n v="97.639600000000002"/>
    <n v="-593959.27"/>
    <s v="Zomato"/>
    <n v="8888193615"/>
    <s v="zomato@biz.com"/>
    <s v="Dining"/>
    <s v="Restaurant"/>
    <s v="UAE"/>
    <x v="3"/>
    <n v="365802"/>
    <n v="4962630000000000"/>
    <s v="ritu.joshi@example.com"/>
    <n v="6621814434"/>
    <s v="No"/>
    <s v="Monthly Subscription"/>
    <d v="1905-07-08T00:00:00"/>
  </r>
  <r>
    <s v="TX105414"/>
    <d v="2024-07-02T00:00:00"/>
    <s v="AC5232"/>
    <x v="234"/>
    <x v="0"/>
    <n v="14.14"/>
    <s v="inr"/>
    <n v="1"/>
    <n v="-2775525.82"/>
    <s v="AutoZone"/>
    <n v="555123259"/>
    <s v="autozone@biz.com"/>
    <s v="Utilities"/>
    <s v="Internet"/>
    <s v="UK"/>
    <x v="2"/>
    <n v="670"/>
    <s v="XXXX-XXXX-4947"/>
    <s v="asha.iyeryahoo.com"/>
    <n v="3941763523"/>
    <s v="No"/>
    <s v="Repeat Purchase"/>
    <d v="2025-01-01T00:00:00"/>
  </r>
  <r>
    <s v="TX105785"/>
    <d v="2024-08-03T00:00:00"/>
    <s v="AC5260"/>
    <x v="227"/>
    <x v="1"/>
    <n v="67.31"/>
    <s v="AED"/>
    <n v="19.6585"/>
    <n v="-2902977.82"/>
    <s v="Paytm Mall"/>
    <n v="2107536030"/>
    <s v="paytmmall@biz.com"/>
    <s v="Health"/>
    <s v="Pharmacy"/>
    <s v="UK"/>
    <x v="1"/>
    <n v="846460"/>
    <s v="XXXX-XXXX-XXXX-1980"/>
    <s v="suresh.iyer@hotmail.com"/>
    <n v="901029440"/>
    <s v="No"/>
    <s v="Manual Adjustment"/>
    <d v="1905-07-10T00:00:00"/>
  </r>
  <r>
    <s v="TX105558"/>
    <d v="2025-02-01T00:00:00"/>
    <s v="AC3693"/>
    <x v="235"/>
    <x v="1"/>
    <n v="31.97"/>
    <s v="USD"/>
    <n v="74.174400000000006"/>
    <n v="-2867930.88"/>
    <s v="Flipkart"/>
    <n v="1154023156"/>
    <s v="flipkart@biz.com"/>
    <s v="Utilities"/>
    <s v="Internet"/>
    <s v="India"/>
    <x v="4"/>
    <n v="264373"/>
    <s v="XXXX-XXXX-8472"/>
    <s v="anita.mehta@hotmail.com"/>
    <n v="75639044"/>
    <s v="No"/>
    <s v="Chargeback Requested"/>
    <d v="1905-07-09T00:00:00"/>
  </r>
  <r>
    <s v="TX101264"/>
    <d v="2024-09-01T00:00:00"/>
    <s v="AC9931"/>
    <x v="179"/>
    <x v="1"/>
    <n v="40.58"/>
    <s v="inr"/>
    <n v="1"/>
    <n v="-595527.29"/>
    <s v="Zomato"/>
    <n v="8837446453"/>
    <s v="zomato@biz.com"/>
    <s v="Health"/>
    <s v="Pharmacy"/>
    <s v="India"/>
    <x v="6"/>
    <n v="459136"/>
    <s v="XXXX-XXXX-7108"/>
    <s v="maya.bose@gmail.com"/>
    <n v="1607397480"/>
    <s v="No"/>
    <s v="Monthly Subscription -- Verify_x000a_Contact Support"/>
    <d v="1905-07-13T00:00:00"/>
  </r>
  <r>
    <s v="TX105851"/>
    <d v="2025-02-08T00:00:00"/>
    <s v="AC6922"/>
    <x v="49"/>
    <x v="0"/>
    <n v="18.84"/>
    <s v="USD"/>
    <n v="80.372200000000007"/>
    <n v="-2913908.73"/>
    <s v="Reliance"/>
    <n v="9886232528"/>
    <s v="reliance@biz.com"/>
    <s v="Electronics"/>
    <s v="Mobile"/>
    <s v="UAE"/>
    <x v="6"/>
    <n v="163385"/>
    <s v="XXXX-XXXX-2343"/>
    <s v="ritu.khan@example.com"/>
    <n v="6386935373"/>
    <s v="No"/>
    <s v="Monthly Subscription"/>
    <d v="2025-12-13T00:00:00"/>
  </r>
  <r>
    <s v="TX100013"/>
    <d v="2025-01-01T00:00:00"/>
    <s v="AC1090"/>
    <x v="15"/>
    <x v="0"/>
    <n v="3.33"/>
    <s v="USD"/>
    <n v="82.683400000000006"/>
    <n v="9556.25"/>
    <s v="Swiggy"/>
    <n v="8104134474"/>
    <s v="swiggy@biz.com"/>
    <s v="Travel"/>
    <s v="Flight"/>
    <s v="USA"/>
    <x v="4"/>
    <n v="963073"/>
    <s v="XXXX-XXXX-XXXX-9824"/>
    <s v="rahul.mehta@gmail.com"/>
    <n v="8369448529"/>
    <s v="No"/>
    <s v="Cashback Credited"/>
    <d v="2020-09-23T00:00:00"/>
  </r>
  <r>
    <s v="TX103217"/>
    <d v="2025-09-09T00:00:00"/>
    <s v="AC5423"/>
    <x v="229"/>
    <x v="0"/>
    <n v="17.649999999999999"/>
    <s v="inr"/>
    <n v="1"/>
    <n v="-1713914.66"/>
    <s v="Paytm Mall"/>
    <n v="7503092249"/>
    <s v="paytmmall@biz.com"/>
    <s v="Groceries"/>
    <s v="Specialty"/>
    <s v="Australia"/>
    <x v="10"/>
    <n v="971365"/>
    <s v="XXXX-XXXX-XXXX-1965"/>
    <s v="sam.nair@hotmail.com"/>
    <n v="8220828966"/>
    <s v="No"/>
    <s v="Manual Adjustment"/>
    <d v="2015-10-14T00:00:00"/>
  </r>
  <r>
    <s v="TX105554"/>
    <d v="2024-11-11T00:00:00"/>
    <s v="AC4153"/>
    <x v="2"/>
    <x v="1"/>
    <n v="30.68"/>
    <s v="USD"/>
    <n v="79.3078"/>
    <n v="-2867835.57"/>
    <s v="Paytm Mall"/>
    <n v="9118451288"/>
    <s v="paytmmall@biz.com"/>
    <s v="Automotive"/>
    <s v="Fuel"/>
    <s v="Australia"/>
    <x v="7"/>
    <n v="899149"/>
    <s v="XXXX-XXXX-6648"/>
    <s v="karan.bose@hotmail.com"/>
    <n v="4476551776"/>
    <s v="No"/>
    <s v="Promo Applied"/>
    <d v="2016-12-05T00:00:00"/>
  </r>
  <r>
    <s v="TX100046"/>
    <d v="2025-10-04T00:00:00"/>
    <s v="AC6454"/>
    <x v="220"/>
    <x v="2"/>
    <n v="19.05"/>
    <s v="USD"/>
    <n v="75.659599999999998"/>
    <n v="-143750.96"/>
    <s v="Amazon"/>
    <n v="7562452206"/>
    <s v="amazon@biz.com"/>
    <s v="Travel"/>
    <s v="Taxi"/>
    <s v="Canada"/>
    <x v="10"/>
    <n v="385486"/>
    <s v="XXXX-XXXX-XXXX-6389"/>
    <s v="maya.nair@hotmail.com"/>
    <n v="9568913"/>
    <s v="No"/>
    <s v="Repeat Purchase"/>
    <d v="2025-07-07T00:00:00"/>
  </r>
  <r>
    <s v="TX105286"/>
    <d v="2025-06-05T00:00:00"/>
    <s v="AC9450"/>
    <x v="178"/>
    <x v="0"/>
    <n v="7.69"/>
    <s v="GBP"/>
    <n v="90.363200000000006"/>
    <n v="-2764577.01"/>
    <s v="LocalMart"/>
    <n v="2188884940"/>
    <s v="localmart@biz.com"/>
    <s v="Utilities"/>
    <s v="Water"/>
    <s v="UK"/>
    <x v="8"/>
    <n v="474885"/>
    <s v="XXXX-XXXX-1178"/>
    <s v="lina.desai@yahoo.com"/>
    <n v="4519173258"/>
    <s v="No"/>
    <s v="Manual Adjustment"/>
    <d v="2025-07-01T00:00:00"/>
  </r>
  <r>
    <s v="TX105086"/>
    <d v="2024-05-07T00:00:00"/>
    <s v="AC8143"/>
    <x v="48"/>
    <x v="0"/>
    <n v="32.450000000000003"/>
    <s v="AED"/>
    <n v="20.7136"/>
    <n v="-2653287.64"/>
    <s v="ElectroWorld"/>
    <n v="4689164046"/>
    <s v="electroworld@biz.com"/>
    <s v="Utilities"/>
    <s v="Water"/>
    <s v="India"/>
    <x v="8"/>
    <n v="518602"/>
    <s v="XXXX-XXXX-XXXX-7336"/>
    <s v="neha.roy@hotmail.com"/>
    <n v="-7460885980"/>
    <s v="No"/>
    <s v="Chargeback Requested"/>
    <d v="2021-08-21T00:00:00"/>
  </r>
  <r>
    <s v="TX104410"/>
    <d v="2024-07-11T00:00:00"/>
    <s v="AC2408"/>
    <x v="236"/>
    <x v="0"/>
    <n v="14.85"/>
    <s v="GBP"/>
    <n v="98.707800000000006"/>
    <n v="-2428680.9300000002"/>
    <s v="Amazon"/>
    <n v="1577572323"/>
    <s v="amazon@biz.com"/>
    <s v="Electronics"/>
    <s v="Laptop"/>
    <s v="Canada"/>
    <x v="6"/>
    <n v="614330"/>
    <s v="XXXX-XXXX-1448"/>
    <s v="amit.patel@example.com"/>
    <n v="6406480059"/>
    <s v="No"/>
    <s v="Chargeback Requested"/>
    <d v="1905-07-07T00:00:00"/>
  </r>
  <r>
    <s v="TX100086"/>
    <d v="2025-02-04T00:00:00"/>
    <s v="AC4044"/>
    <x v="43"/>
    <x v="1"/>
    <n v="-99.33"/>
    <s v="GBP"/>
    <n v="107.6567"/>
    <n v="-144816.35999999999"/>
    <s v="Myntra"/>
    <n v="5083506325"/>
    <s v="myntra@biz.com"/>
    <s v="Clothing"/>
    <s v="Women"/>
    <s v="Australia"/>
    <x v="7"/>
    <n v="436921"/>
    <s v="XXXX-XXXX-XXXX-2748"/>
    <s v="arjun.roy@example.com"/>
    <n v="8062400397"/>
    <s v="No"/>
    <s v="Promo Applied"/>
    <d v="2016-09-01T00:00:00"/>
  </r>
  <r>
    <s v="TX103046"/>
    <d v="2024-02-11T00:00:00"/>
    <s v="AC6772"/>
    <x v="237"/>
    <x v="0"/>
    <n v="133.07"/>
    <s v="AED"/>
    <n v="20.978400000000001"/>
    <n v="-1652472.92"/>
    <s v="Myntra"/>
    <n v="9185057393"/>
    <s v="myntra@biz.com"/>
    <s v="Clothing"/>
    <s v="Women"/>
    <s v="USA"/>
    <x v="1"/>
    <n v="337726"/>
    <s v="XXXX-XXXX-5033"/>
    <s v="maya.joshi@hotmail.com"/>
    <n v="-8070949915"/>
    <s v="No"/>
    <s v="Monthly Subscription"/>
    <d v="2021-10-01T00:00:00"/>
  </r>
  <r>
    <s v="TX105397"/>
    <d v="2025-06-01T00:00:00"/>
    <s v="AC2167"/>
    <x v="114"/>
    <x v="0"/>
    <n v="79.81"/>
    <s v="inr"/>
    <n v="1"/>
    <n v="-2775282.75"/>
    <s v="BigBasket"/>
    <n v="6602602948"/>
    <s v="bigbasket@biz.com"/>
    <s v="Clothing"/>
    <s v="Women"/>
    <s v="Australia"/>
    <x v="2"/>
    <n v="912939"/>
    <s v="XXXX-XXXX-6915"/>
    <s v="dev.sharma@yahoo.com"/>
    <n v="1553908857"/>
    <s v="No"/>
    <s v="Promo Applied"/>
    <d v="1905-07-16T00:00:00"/>
  </r>
  <r>
    <s v="TX100999"/>
    <d v="2025-10-01T00:00:00"/>
    <s v="AC8111"/>
    <x v="238"/>
    <x v="2"/>
    <n v="65.83"/>
    <s v="USD"/>
    <n v="77.6143"/>
    <n v="-540521.28"/>
    <s v="Paytm Mall"/>
    <n v="2759276721"/>
    <s v="paytmmall@biz.com"/>
    <s v="Health"/>
    <s v="Pharmacy"/>
    <s v="UK"/>
    <x v="1"/>
    <n v="544364"/>
    <s v="XXXX-XXXX-4721"/>
    <s v="arjun.joshi@example.com"/>
    <n v="529826167"/>
    <s v="No"/>
    <s v="Repeat Purchase"/>
    <d v="2022-11-01T00:00:00"/>
  </r>
  <r>
    <s v="TX104610"/>
    <d v="2023-11-11T00:00:00"/>
    <s v="AC6886"/>
    <x v="86"/>
    <x v="0"/>
    <n v="35.92"/>
    <s v="GBP"/>
    <n v="105.4361"/>
    <n v="-2466225.4900000002"/>
    <s v="Walmart"/>
    <n v="9842694092"/>
    <s v="walmart@biz.com"/>
    <s v="Utilities"/>
    <s v="Electricity"/>
    <s v="India"/>
    <x v="5"/>
    <n v="441764"/>
    <s v="XXXX-XXXX-1967"/>
    <s v="rohit.patel@hotmail.com"/>
    <n v="-9621585611"/>
    <s v="No"/>
    <s v="Chargeback Requested"/>
    <d v="2025-10-08T00:00:00"/>
  </r>
  <r>
    <s v="TX104488"/>
    <d v="2025-01-03T00:00:00"/>
    <s v="AC6866"/>
    <x v="75"/>
    <x v="2"/>
    <n v="95.33"/>
    <s v="USD"/>
    <n v="81.456999999999994"/>
    <n v="-2463043.7799999998"/>
    <s v="BigBasket"/>
    <n v="-9837939163"/>
    <s v="bigbasket@biz.com"/>
    <s v="Health"/>
    <s v="Clinic"/>
    <s v="USA"/>
    <x v="8"/>
    <n v="629735"/>
    <n v="4767170000000000"/>
    <s v="suresh.reddy@gmailcom"/>
    <n v="6038900179"/>
    <s v="No"/>
    <s v="Promo Applied"/>
    <d v="1905-07-17T00:00:00"/>
  </r>
  <r>
    <s v="TX104146"/>
    <d v="2024-05-10T00:00:00"/>
    <s v="AC1786"/>
    <x v="239"/>
    <x v="1"/>
    <n v="52.78"/>
    <s v="USD"/>
    <n v="81.544799999999995"/>
    <n v="-2236614.9300000002"/>
    <s v="Flipkart"/>
    <n v="1822529643"/>
    <s v="flipkart@biz.com"/>
    <s v="Travel"/>
    <s v="Taxi"/>
    <s v="Australia"/>
    <x v="10"/>
    <n v="559510"/>
    <m/>
    <s v="raj.mehta@example.com"/>
    <n v="-6671739445"/>
    <s v="No"/>
    <s v="Manual Adjustment"/>
    <d v="2022-11-20T00:00:00"/>
  </r>
  <r>
    <s v="TX100518"/>
    <d v="2025-08-09T00:00:00"/>
    <s v="AC1197"/>
    <x v="98"/>
    <x v="0"/>
    <n v="37.31"/>
    <s v="inr"/>
    <n v="1"/>
    <n v="-276199.38"/>
    <s v="Starbucks"/>
    <n v="6642760629"/>
    <s v="starbucks@biz.com"/>
    <s v="Health"/>
    <s v="Pharmacy"/>
    <s v="USA"/>
    <x v="4"/>
    <n v="352015"/>
    <s v="XXXX-XXXX-XXXX-4709"/>
    <s v="asha.mehta@yahoo.com"/>
    <n v="4857675482"/>
    <s v="No"/>
    <s v="Suspected Fraud"/>
    <d v="2017-07-01T00:00:00"/>
  </r>
  <r>
    <s v="TX105738"/>
    <d v="2023-02-11T00:00:00"/>
    <s v="AC7648"/>
    <x v="94"/>
    <x v="0"/>
    <n v="15.58"/>
    <s v="inr"/>
    <n v="1"/>
    <n v="-2901881.93"/>
    <s v="Swiggy"/>
    <n v="3937468238"/>
    <s v="swiggy@biz.com"/>
    <s v="Automotive"/>
    <s v="Repair"/>
    <s v="UAE"/>
    <x v="0"/>
    <n v="403617"/>
    <n v="4119970000000000"/>
    <s v="suresh.nair@hotmail.com"/>
    <n v="3355807327"/>
    <s v="No"/>
    <s v="Chargeback Requested"/>
    <d v="2023-04-12T00:00:00"/>
  </r>
  <r>
    <s v="TX101960"/>
    <d v="2024-05-04T00:00:00"/>
    <s v="AC7196"/>
    <x v="47"/>
    <x v="0"/>
    <n v="31"/>
    <s v="inr"/>
    <n v="1"/>
    <n v="-1170210.52"/>
    <s v="Amazon"/>
    <n v="8508907852"/>
    <s v="amazon@biz.com"/>
    <s v="Dining"/>
    <s v="FastFood"/>
    <s v="UAE"/>
    <x v="6"/>
    <n v="774446"/>
    <s v="XXXX-XXXX-XXXX-7906"/>
    <s v="lina.khan@hotmail.com"/>
    <n v="6809879492"/>
    <s v="No"/>
    <s v="Repeat Purchase"/>
    <d v="1905-07-17T00:00:00"/>
  </r>
  <r>
    <s v="TX101274"/>
    <d v="2023-01-10T00:00:00"/>
    <s v="AC2398"/>
    <x v="240"/>
    <x v="0"/>
    <n v="141.97999999999999"/>
    <s v="USD"/>
    <n v="82.937200000000004"/>
    <n v="-595801.56000000006"/>
    <s v="Walmart"/>
    <n v="7129652450"/>
    <s v="walmart@biz.com"/>
    <s v="Entertainment"/>
    <s v="Concert"/>
    <s v="UK"/>
    <x v="2"/>
    <n v="792553"/>
    <n v="4439560000000000"/>
    <s v="sana.bose@hotmail.com"/>
    <n v="3306153112"/>
    <s v="No"/>
    <s v="Chargeback Requested"/>
    <d v="2026-03-01T00:00:00"/>
  </r>
  <r>
    <s v="TX100480"/>
    <d v="2025-09-02T00:00:00"/>
    <s v="AC9344"/>
    <x v="217"/>
    <x v="0"/>
    <n v="28.4"/>
    <s v="AED"/>
    <n v="19.115500000000001"/>
    <n v="-260078.8"/>
    <s v="ShopEasy"/>
    <n v="1415946283"/>
    <s v="shopeasy@biz.com"/>
    <s v="Health"/>
    <s v="Pharmacy"/>
    <s v="USA"/>
    <x v="1"/>
    <n v="250325"/>
    <n v="4334540000000000"/>
    <s v="rohit.gupta@hotmail.com"/>
    <n v="3278451181"/>
    <s v="No"/>
    <s v="Promo Applied"/>
    <d v="2023-10-01T00:00:00"/>
  </r>
  <r>
    <s v="TX104286"/>
    <d v="2025-07-07T00:00:00"/>
    <s v="AC1713"/>
    <x v="2"/>
    <x v="0"/>
    <n v="-19.12"/>
    <s v="USD"/>
    <n v="72.2226"/>
    <n v="-2308140.7200000002"/>
    <s v="BigBasket"/>
    <n v="408282239"/>
    <s v="bigbasket@biz.com"/>
    <s v="Dining"/>
    <s v="Cafe"/>
    <s v="India"/>
    <x v="6"/>
    <n v="809791"/>
    <s v="XXXX-XXXX-8597"/>
    <s v="karan.bose@gmail.com"/>
    <n v="-8792060484"/>
    <s v="No"/>
    <s v="Manual Adjustment"/>
    <d v="2020-07-01T00:00:00"/>
  </r>
  <r>
    <s v="TX100464"/>
    <d v="2025-11-03T00:00:00"/>
    <s v="AC2040"/>
    <x v="203"/>
    <x v="1"/>
    <n v="28.94"/>
    <s v="inr"/>
    <n v="1"/>
    <n v="-259189.53"/>
    <s v="Amazon"/>
    <n v="-2519914355"/>
    <s v="amazon@biz.com"/>
    <s v="Automotive"/>
    <s v="Repair"/>
    <s v="USA"/>
    <x v="6"/>
    <n v="622129"/>
    <s v="XXXX-XXXX-XXXX-7655"/>
    <s v="uma.roy@example.com"/>
    <n v="8088002220"/>
    <s v="No"/>
    <s v="Manual Adjustment"/>
    <d v="2021-05-01T00:00:00"/>
  </r>
  <r>
    <s v="TX103902"/>
    <d v="2024-02-07T00:00:00"/>
    <s v="AC8851"/>
    <x v="241"/>
    <x v="0"/>
    <n v="245.4"/>
    <s v="AED"/>
    <n v="21.1616"/>
    <n v="-2120102.1"/>
    <s v="Starbucks"/>
    <n v="6319459624"/>
    <s v="starbucks@biz.com"/>
    <s v="Clothing"/>
    <s v="Women"/>
    <s v="India"/>
    <x v="6"/>
    <n v="675660"/>
    <m/>
    <s v="maya.sharma@hotmail.com"/>
    <n v="7737025062"/>
    <s v="No"/>
    <s v="Chargeback Requested"/>
    <d v="1905-07-13T00:00:00"/>
  </r>
  <r>
    <s v="TX101348"/>
    <d v="2025-07-09T00:00:00"/>
    <s v="AC2162"/>
    <x v="113"/>
    <x v="1"/>
    <n v="6.42"/>
    <s v="AED"/>
    <n v="19.552499999999998"/>
    <n v="-974048.31"/>
    <s v="BigBasket"/>
    <n v="3032738924"/>
    <s v="bigbasket@biz.com"/>
    <s v="Travel"/>
    <s v="Taxi"/>
    <s v="Canada"/>
    <x v="4"/>
    <n v="488884"/>
    <s v="XXXX-XXXX-XXXX-1955"/>
    <s v="sana.reddy@hotmail.com "/>
    <n v="9855026870"/>
    <s v="No"/>
    <s v="Manual Adjustment"/>
    <d v="2015-06-10T00:00:00"/>
  </r>
  <r>
    <s v="TX102245"/>
    <d v="2025-10-06T00:00:00"/>
    <s v="AC7328"/>
    <x v="188"/>
    <x v="0"/>
    <n v="37.53"/>
    <s v="inr"/>
    <n v="1"/>
    <n v="-1270484.53"/>
    <s v="ElectroWorld"/>
    <n v="2549964188"/>
    <s v="electroworld@biz.com"/>
    <s v="Dining"/>
    <s v="Cafe"/>
    <s v="Canada"/>
    <x v="2"/>
    <n v="734658"/>
    <s v="XXXX-XXXX-9660"/>
    <s v="sana.nair@hotmail.com"/>
    <n v="5353326167"/>
    <s v="No"/>
    <s v="Promo Applied"/>
    <d v="2019-12-01T00:00:00"/>
  </r>
  <r>
    <s v="TX104349"/>
    <d v="2024-03-10T00:00:00"/>
    <s v="AC8327"/>
    <x v="242"/>
    <x v="1"/>
    <n v="-16.899999999999999"/>
    <s v="AED"/>
    <n v="19.726900000000001"/>
    <n v="-2419591.81"/>
    <s v="Zomato"/>
    <n v="4049695957"/>
    <s v="zomato@biz.com"/>
    <s v="Clothing"/>
    <s v="Women"/>
    <s v="Australia"/>
    <x v="3"/>
    <n v="702706"/>
    <s v="XXXX-XXXX-3002"/>
    <s v="vikram.dsai@hotmail.com"/>
    <n v="6498788140"/>
    <s v="No"/>
    <s v="Repeat Purchase"/>
    <d v="2018-05-01T00:00:00"/>
  </r>
  <r>
    <s v="TX100286"/>
    <d v="2025-08-03T00:00:00"/>
    <s v="AC8680"/>
    <x v="243"/>
    <x v="1"/>
    <n v="27.6"/>
    <s v="GBP"/>
    <n v="92.139799999999994"/>
    <n v="-174831.5"/>
    <s v="Myntra"/>
    <n v="-8046520163"/>
    <s v="myntra@biz.com"/>
    <s v="Groceries"/>
    <s v="Supermarket"/>
    <s v="UK"/>
    <x v="8"/>
    <n v="863814"/>
    <s v="XXXX-XXXX-XXXX-6734"/>
    <s v="priya.bose@hotmail.com"/>
    <n v="2956545265"/>
    <s v="No"/>
    <s v="Chargeback Requested"/>
    <d v="2024-01-01T00:00:00"/>
  </r>
  <r>
    <s v="TX100165"/>
    <d v="2025-08-06T00:00:00"/>
    <s v="AC5193"/>
    <x v="158"/>
    <x v="0"/>
    <n v="54.34"/>
    <s v="USD"/>
    <n v="73.536900000000003"/>
    <n v="-159983.29999999999"/>
    <s v="Reliance"/>
    <n v="7335740024"/>
    <s v="reliance@biz.com"/>
    <s v="Education"/>
    <s v="Course"/>
    <s v="India"/>
    <x v="10"/>
    <n v="237538"/>
    <m/>
    <s v="sam.joshi@gmail.com"/>
    <n v="9043982471"/>
    <s v="No"/>
    <s v="Manual Adjustment"/>
    <d v="2025-12-03T00:00:00"/>
  </r>
  <r>
    <s v="TX103108"/>
    <d v="2024-01-01T00:00:00"/>
    <s v="AC8549"/>
    <x v="67"/>
    <x v="1"/>
    <n v="56.87"/>
    <s v="AED"/>
    <n v="19.409700000000001"/>
    <n v="-1676011.74"/>
    <s v="Reliance"/>
    <n v="66558383"/>
    <s v="reliance@biz.com"/>
    <s v="Groceries"/>
    <s v="Supermarket"/>
    <s v="Canada"/>
    <x v="10"/>
    <n v="335836"/>
    <s v="XXXX-XXXX-9460"/>
    <s v="rohit.khan@gmail.com"/>
    <n v="4009149721"/>
    <s v="No"/>
    <s v="Repeat Purchase"/>
    <d v="1905-07-11T00:00:00"/>
  </r>
  <r>
    <s v="TX102216"/>
    <d v="2024-06-01T00:00:00"/>
    <s v="AC7468"/>
    <x v="78"/>
    <x v="0"/>
    <n v="19.61"/>
    <s v="GBP"/>
    <n v="105.5321"/>
    <n v="-1269392.1200000001"/>
    <s v="Flipkart"/>
    <n v="-4036489087"/>
    <s v="flipkart@biz.com"/>
    <s v="Utilities"/>
    <s v="Electricity"/>
    <s v="Australia"/>
    <x v="3"/>
    <n v="563837"/>
    <s v="XXXX-XXXX-5378"/>
    <s v="lina.reddy@hotmail.com"/>
    <n v="621169743"/>
    <s v="No"/>
    <s v="Chargeback Requested"/>
    <d v="2020-11-28T00:00:00"/>
  </r>
  <r>
    <s v="TX100251"/>
    <d v="2025-11-03T00:00:00"/>
    <s v="AC2063"/>
    <x v="244"/>
    <x v="1"/>
    <n v="99.63"/>
    <s v="USD"/>
    <n v="72.339100000000002"/>
    <n v="-173639.42"/>
    <s v="BigBasket"/>
    <n v="7116872960"/>
    <s v="bigbasket@biz.com"/>
    <s v="Clothing"/>
    <s v="Men"/>
    <s v="USA"/>
    <x v="10"/>
    <n v="316085"/>
    <s v="XXXX-XXXX-7778"/>
    <s v="karan.reddy@gmail.com"/>
    <n v="4543606837"/>
    <s v="No"/>
    <s v="Chargeback Requested"/>
    <d v="2016-10-01T00:00:00"/>
  </r>
  <r>
    <s v="TX103034"/>
    <d v="2025-01-05T00:00:00"/>
    <s v="AC3749"/>
    <x v="142"/>
    <x v="0"/>
    <n v="35.54"/>
    <s v="USD"/>
    <n v="78.189599999999999"/>
    <n v="-1652203.92"/>
    <s v="Starbucks"/>
    <n v="-5448520594"/>
    <s v="starbucks@biz.com"/>
    <s v="Entertainment"/>
    <s v="Concert"/>
    <s v="India"/>
    <x v="1"/>
    <n v="609880"/>
    <s v="XXXX-XXXX-XXXX-2039"/>
    <s v="lina.nair@hotmail.com"/>
    <n v="4204836926"/>
    <s v="No"/>
    <s v="Promo Applied"/>
    <d v="2020-09-21T00:00:00"/>
  </r>
  <r>
    <s v="TX103459"/>
    <d v="2025-08-01T00:00:00"/>
    <s v="AC5598"/>
    <x v="245"/>
    <x v="0"/>
    <n v="8.1199999999999992"/>
    <s v="USD"/>
    <n v="82.324399999999997"/>
    <n v="-1850235.1"/>
    <s v="Swiggy"/>
    <n v="303884708"/>
    <s v="swiggy@biz.com"/>
    <s v="Groceries"/>
    <s v="Supermarket"/>
    <s v="USA"/>
    <x v="6"/>
    <n v="644378"/>
    <s v="XXXX-XXXX-XXXX-7012"/>
    <s v="asha.reddy@example.com"/>
    <n v="9497790168"/>
    <s v="No"/>
    <s v="Repeat Purchase"/>
    <d v="2022-12-30T00:00:00"/>
  </r>
  <r>
    <s v="TX104219"/>
    <d v="2024-04-08T00:00:00"/>
    <s v="AC2715"/>
    <x v="129"/>
    <x v="2"/>
    <n v="3.8"/>
    <s v="INRr"/>
    <n v="1"/>
    <n v="-2238035.9500000002"/>
    <s v="Starbucks"/>
    <n v="6590161133"/>
    <s v="starbucks@biz.com"/>
    <s v="Education"/>
    <s v="Books"/>
    <s v="Canada"/>
    <x v="3"/>
    <n v="783895"/>
    <s v="XXXX-XXXX-XXXX-9421"/>
    <s v="suresh.kumar@example.com"/>
    <n v="-3971040936"/>
    <s v="No"/>
    <s v="Chargeback Requested"/>
    <d v="1905-07-16T00:00:00"/>
  </r>
  <r>
    <s v="TX100549"/>
    <d v="2024-08-10T00:00:00"/>
    <s v="AC3387"/>
    <x v="26"/>
    <x v="2"/>
    <n v="16.04"/>
    <s v="GBP"/>
    <n v="92.336100000000002"/>
    <n v="-277549.11"/>
    <s v="Paytm Mall"/>
    <n v="-5965835210"/>
    <s v="paytmmall@biz.com"/>
    <s v="Groceries"/>
    <s v="Specialty"/>
    <s v="Australia"/>
    <x v="3"/>
    <n v="282255"/>
    <s v="XXXX-XXXX-7489"/>
    <s v="amit.reddy@example.com"/>
    <n v="9220025822"/>
    <s v="No"/>
    <s v="Cashback Credited"/>
    <d v="2021-05-18T00:00:00"/>
  </r>
  <r>
    <s v="TX105493"/>
    <d v="2023-03-10T00:00:00"/>
    <s v="AC6754"/>
    <x v="21"/>
    <x v="0"/>
    <n v="403.1"/>
    <s v="USD"/>
    <n v="72.273600000000002"/>
    <n v="-2826278.25"/>
    <s v="Paytm Mall"/>
    <n v="-3363765532"/>
    <s v="paytmmall@biz.com"/>
    <s v="Electronics"/>
    <s v="Laptop"/>
    <s v="UAE"/>
    <x v="4"/>
    <n v="625812"/>
    <n v="4783870000000000"/>
    <s v="vikram.das@example.com"/>
    <n v="3878204426"/>
    <s v="No"/>
    <s v="Cashback Credited"/>
    <d v="2015-10-16T00:00:00"/>
  </r>
  <r>
    <s v="TX100918"/>
    <d v="2025-03-05T00:00:00"/>
    <s v="AC8708"/>
    <x v="89"/>
    <x v="0"/>
    <n v="19.38"/>
    <s v="AED"/>
    <n v="21.1708"/>
    <n v="-529761.53"/>
    <s v="AutoZone"/>
    <n v="-2086493271"/>
    <s v="autozone@biz.com"/>
    <s v="Dining"/>
    <s v="Restaurant"/>
    <s v="USA"/>
    <x v="3"/>
    <n v="721313"/>
    <m/>
    <s v="priya.sharma@yahoo.com"/>
    <n v="4537592939"/>
    <s v="No"/>
    <s v="Monthly Subscription"/>
    <d v="2026-02-01T00:00:00"/>
  </r>
  <r>
    <s v="TX101821"/>
    <d v="2025-01-08T00:00:00"/>
    <s v="AC8869"/>
    <x v="246"/>
    <x v="0"/>
    <n v="36.31"/>
    <s v="inr"/>
    <n v="1"/>
    <n v="-1131488.73"/>
    <s v="Amazon"/>
    <n v="-284294988"/>
    <s v="amazon@biz.com"/>
    <s v="Automotive"/>
    <s v="Repair"/>
    <s v="UAE"/>
    <x v="0"/>
    <n v="229438"/>
    <s v="XXXX-XXXX-9699"/>
    <s v="priya.desai@example.com"/>
    <n v="974273500"/>
    <s v="No"/>
    <s v="Manual Adjustment"/>
    <d v="2024-04-10T00:00:00"/>
  </r>
  <r>
    <s v="TX104421"/>
    <d v="2023-10-11T00:00:00"/>
    <s v="AC6407"/>
    <x v="247"/>
    <x v="2"/>
    <n v="9"/>
    <s v="inr"/>
    <n v="1"/>
    <n v="-2452357.0099999998"/>
    <s v="ElectroWorld"/>
    <n v="5762598723"/>
    <s v="electroworld@biz.com"/>
    <s v="Clothing"/>
    <s v="Men"/>
    <s v="UK"/>
    <x v="7"/>
    <n v="696756"/>
    <n v="4814450000000000"/>
    <s v="sam.roy@hotmail.com"/>
    <n v="-8776051175"/>
    <s v="No"/>
    <s v="Repeat Purchase"/>
    <d v="2023-08-01T00:00:00"/>
  </r>
  <r>
    <s v="TX103128"/>
    <d v="2024-05-05T00:00:00"/>
    <s v="AC6009"/>
    <x v="53"/>
    <x v="0"/>
    <n v="36.130000000000003"/>
    <s v="USD"/>
    <n v="73.521000000000001"/>
    <n v="-1676460.85"/>
    <s v="Starbucks"/>
    <n v="5669108471"/>
    <s v="starbucks@biz.com"/>
    <s v="Utilities"/>
    <s v="Internet"/>
    <s v="UK"/>
    <x v="4"/>
    <n v="701090"/>
    <n v="4154540000000000"/>
    <s v="amit.roy@gmail.com"/>
    <n v="3266473633"/>
    <s v="No"/>
    <s v="Monthly Subscription"/>
    <d v="2025-06-01T00:00:00"/>
  </r>
  <r>
    <s v="TX105467"/>
    <d v="2025-10-01T00:00:00"/>
    <s v="AC8194"/>
    <x v="135"/>
    <x v="0"/>
    <n v="44.67"/>
    <s v="USD"/>
    <n v="81.616799999999998"/>
    <n v="-2825287.7"/>
    <s v="Flipkart"/>
    <n v="-1529531622"/>
    <s v="flipkart@biz.com"/>
    <s v="Dining"/>
    <s v="FastFood"/>
    <s v="UK"/>
    <x v="3"/>
    <n v="700867"/>
    <s v="XXXX-XXXX-6101"/>
    <s v="priya.mehta@gmail.com"/>
    <n v="4974436870"/>
    <s v="No"/>
    <s v="Chargeback Requested"/>
    <d v="1905-07-14T00:00:00"/>
  </r>
  <r>
    <s v="TX105994"/>
    <d v="2024-09-06T00:00:00"/>
    <s v="AC6705"/>
    <x v="187"/>
    <x v="2"/>
    <n v="93.34"/>
    <s v="AED"/>
    <n v="21.599"/>
    <n v="-2936206.1"/>
    <s v="ShopEasy"/>
    <n v="5419648017"/>
    <s v="shopeasy@biz.com"/>
    <s v="Education"/>
    <s v="Course"/>
    <s v="Canada"/>
    <x v="10"/>
    <n v="409601"/>
    <s v="XXXX-XXXX-XXXX-7072"/>
    <s v="neha.patel@yahoo.com"/>
    <n v="3367436341"/>
    <s v="No"/>
    <s v="Chargeback Requested"/>
    <d v="1905-07-11T00:00:00"/>
  </r>
  <r>
    <s v="TX105670"/>
    <d v="2023-12-11T00:00:00"/>
    <s v="AC6246"/>
    <x v="178"/>
    <x v="0"/>
    <n v="663.08"/>
    <s v="GBP"/>
    <n v="98.661500000000004"/>
    <n v="-2874521.64"/>
    <s v="Reliance"/>
    <n v="5898779402"/>
    <s v="reliance@biz.com"/>
    <s v="Health"/>
    <s v="Clinic"/>
    <s v="India"/>
    <x v="6"/>
    <n v="680902"/>
    <s v="XXXX-XXXX-XXXX-9653"/>
    <s v="lina.desai@hotmail.com"/>
    <n v="3599139185"/>
    <s v="No"/>
    <s v="Chargeback Requested"/>
    <d v="2024-08-01T00:00:00"/>
  </r>
  <r>
    <s v="TX101205"/>
    <d v="2024-05-05T00:00:00"/>
    <s v="AC5596"/>
    <x v="214"/>
    <x v="1"/>
    <n v="34.770000000000003"/>
    <s v="AED"/>
    <n v="18.718599999999999"/>
    <n v="-593574.44999999995"/>
    <s v="LocalMart"/>
    <n v="548016445"/>
    <s v="localmart@biz.com"/>
    <s v="Dining"/>
    <s v="FastFood"/>
    <s v="UK"/>
    <x v="1"/>
    <n v="798706"/>
    <s v="XXXX-XXXX-1503"/>
    <s v="lina.kumar@example.com"/>
    <n v="7191128176"/>
    <s v="No"/>
    <s v="Chargeback Requested"/>
    <d v="2022-01-01T00:00:00"/>
  </r>
  <r>
    <s v="TX102332"/>
    <d v="2025-12-05T00:00:00"/>
    <s v="AC1339"/>
    <x v="82"/>
    <x v="2"/>
    <n v="5.36"/>
    <s v="inr"/>
    <n v="1"/>
    <n v="-1273132.52"/>
    <s v="Myntra"/>
    <n v="2705247943"/>
    <s v="myntra@biz.com"/>
    <s v="Electronics"/>
    <s v="Accessory"/>
    <s v="UK"/>
    <x v="1"/>
    <n v="560309"/>
    <s v="XXXX-XXXX-XXXX-9308"/>
    <s v="sam.gupta@example.com"/>
    <n v="4969170920"/>
    <s v="No"/>
    <s v="Manual Adjustment"/>
    <d v="2017-09-02T00:00:00"/>
  </r>
  <r>
    <s v="TX102033"/>
    <d v="2024-08-11T00:00:00"/>
    <s v="AC2445"/>
    <x v="248"/>
    <x v="1"/>
    <n v="60.74"/>
    <s v="inr"/>
    <n v="1"/>
    <n v="-1198355.68"/>
    <s v="LocalMart"/>
    <n v="-8689737451"/>
    <s v="localmart@biz.com"/>
    <s v="Entertainment"/>
    <s v="Movies"/>
    <s v="UK"/>
    <x v="10"/>
    <n v="518422"/>
    <s v="XXXX-XXXX-7420"/>
    <s v="anta.josh@yahoo.com "/>
    <n v="2036185497"/>
    <s v="No"/>
    <s v="Promo Applied"/>
    <d v="2023-04-01T00:00:00"/>
  </r>
  <r>
    <s v="TX105152"/>
    <d v="2025-07-01T00:00:00"/>
    <s v="AC9449"/>
    <x v="30"/>
    <x v="2"/>
    <n v="61.67"/>
    <s v="AED"/>
    <n v="21.6966"/>
    <n v="-2678677.7200000002"/>
    <s v="Myntra"/>
    <n v="9319044940"/>
    <s v="myntra@biz.com"/>
    <s v="Groceries"/>
    <s v="Specialty"/>
    <s v="India"/>
    <x v="1"/>
    <n v="860839"/>
    <s v="XXXX-XXXX-7870"/>
    <s v="sana.sharma@hotmail.com"/>
    <n v="3846105675"/>
    <s v="No"/>
    <s v="Suspected Fraud"/>
    <d v="2022-02-19T00:00:00"/>
  </r>
  <r>
    <s v="TX100579"/>
    <d v="2024-04-09T00:00:00"/>
    <s v="AC9963"/>
    <x v="249"/>
    <x v="0"/>
    <n v="130.65"/>
    <s v="USD"/>
    <n v="80.494600000000005"/>
    <n v="-279608.61"/>
    <s v="Starbucks"/>
    <n v="4437326252"/>
    <s v="starbucks@biz.com"/>
    <s v="Utilities"/>
    <s v="Electricity"/>
    <s v="Australia"/>
    <x v="1"/>
    <n v="992791"/>
    <s v="XXXX-XXXX-XXXX-9452"/>
    <s v="raj.nair@examplecom"/>
    <n v="2621288159"/>
    <s v="No"/>
    <s v="Cashback Credited"/>
    <d v="2016-11-01T00:00:00"/>
  </r>
  <r>
    <s v="TX101705"/>
    <d v="2024-06-05T00:00:00"/>
    <s v="AC5666"/>
    <x v="17"/>
    <x v="1"/>
    <n v="24.79"/>
    <s v="GBP"/>
    <n v="99.615700000000004"/>
    <n v="-1105561.3700000001"/>
    <s v="Myntra"/>
    <n v="-4850369212"/>
    <s v="myntra@biz.com"/>
    <s v="Groceries"/>
    <s v="Supermarket"/>
    <s v="UAE"/>
    <x v="8"/>
    <n v="979904"/>
    <n v="4216500000000000"/>
    <s v="lina.joshi@gmail.com"/>
    <n v="-4429184900"/>
    <s v="No"/>
    <s v="Chargeback Requested"/>
    <d v="2024-04-07T00:00:00"/>
  </r>
  <r>
    <s v="TX105202"/>
    <d v="2024-12-12T00:00:00"/>
    <s v="AC8370"/>
    <x v="191"/>
    <x v="0"/>
    <n v="39.619999999999997"/>
    <s v="USD"/>
    <n v="82.027600000000007"/>
    <n v="-2680242.1"/>
    <s v="Amazon"/>
    <n v="1752212220"/>
    <s v="amazon@biz.com"/>
    <s v="Electronics"/>
    <s v="Accessory"/>
    <s v="India"/>
    <x v="2"/>
    <n v="772572"/>
    <s v="XXXX-XXXX-7317"/>
    <m/>
    <n v="8190135474"/>
    <s v="No"/>
    <s v="Manual Adjustment"/>
    <d v="1905-07-16T00:00:00"/>
  </r>
  <r>
    <s v="TX103524"/>
    <d v="2023-01-12T00:00:00"/>
    <s v="AC4224"/>
    <x v="250"/>
    <x v="1"/>
    <n v="16.48"/>
    <s v="inr"/>
    <n v="1"/>
    <n v="-1886988.69"/>
    <s v="Flipkart"/>
    <n v="9287711095"/>
    <s v="flipkart@biz.com"/>
    <s v="Utilities"/>
    <s v="Water"/>
    <s v="UAE"/>
    <x v="7"/>
    <n v="542262"/>
    <s v="XXXX-XXXX-9500"/>
    <s v="suresh.roy@yahoo.com"/>
    <n v="8003390238"/>
    <s v="No"/>
    <s v="Suspected Fraud"/>
    <d v="1905-07-17T00:00:00"/>
  </r>
  <r>
    <s v="TX102233"/>
    <d v="2024-09-03T00:00:00"/>
    <s v="AC6597"/>
    <x v="231"/>
    <x v="1"/>
    <n v="96.65"/>
    <s v="inr"/>
    <n v="1"/>
    <n v="-1270012.3999999999"/>
    <s v="BigBasket"/>
    <n v="-5432164380"/>
    <s v="bigbasket@biz.com"/>
    <s v="Health"/>
    <s v="Clinic"/>
    <s v="Canada"/>
    <x v="2"/>
    <n v="761644"/>
    <s v="XXXX-XXXX-4319"/>
    <s v="suresh.gupta@gmail.com"/>
    <n v="-9069265406"/>
    <s v="No"/>
    <s v="Suspected Fraud"/>
    <d v="2022-01-08T00:00:00"/>
  </r>
  <r>
    <s v="TX101007"/>
    <d v="2024-11-06T00:00:00"/>
    <s v="AC7697"/>
    <x v="167"/>
    <x v="0"/>
    <n v="70.97"/>
    <s v="GBP"/>
    <n v="106.8288"/>
    <n v="-540834.46"/>
    <s v="Amazon"/>
    <n v="6273875549"/>
    <s v="amazon@biz.com"/>
    <s v="Clothing"/>
    <s v="Women"/>
    <s v="UAE"/>
    <x v="8"/>
    <n v="304525"/>
    <s v="XXXX-XXXX-6296"/>
    <s v="asha.kumar@gmail.com"/>
    <n v="4485140450"/>
    <s v="No"/>
    <s v="Cashback Credited"/>
    <d v="1905-07-12T00:00:00"/>
  </r>
  <r>
    <s v="TX103982"/>
    <d v="2023-03-12T00:00:00"/>
    <s v="AC7750"/>
    <x v="127"/>
    <x v="0"/>
    <n v="1454.57"/>
    <s v="USD"/>
    <n v="82.771900000000002"/>
    <n v="-2208234.11"/>
    <s v="Swiggy"/>
    <n v="1547951162"/>
    <s v="swiggy@biz.com"/>
    <s v="Automotive"/>
    <s v="Repair"/>
    <s v="Australia"/>
    <x v="2"/>
    <n v="876325"/>
    <s v="XXXX-XXXX-5066"/>
    <s v="sam.das@example.com"/>
    <n v="5871101298"/>
    <s v="No"/>
    <s v="Monthly Subscription"/>
    <d v="2025-03-21T00:00:00"/>
  </r>
  <r>
    <s v="TX101475"/>
    <d v="2024-07-03T00:00:00"/>
    <s v="AC5531"/>
    <x v="96"/>
    <x v="2"/>
    <n v="72.09"/>
    <s v="inr"/>
    <n v="1"/>
    <n v="-985848.23"/>
    <s v="BigBasket"/>
    <n v="6976493999"/>
    <s v="bigbasket@biz.com"/>
    <s v="Health"/>
    <s v="Clinic"/>
    <s v="Australia"/>
    <x v="10"/>
    <n v="673795"/>
    <s v="XXXX-XXXX-4067"/>
    <s v="arjun.nair@example.com"/>
    <n v="3079150857"/>
    <s v="No"/>
    <s v="Suspected Fraud"/>
    <d v="2026-02-09T00:00:00"/>
  </r>
  <r>
    <s v="TX103926"/>
    <d v="2024-08-01T00:00:00"/>
    <s v="AC9464"/>
    <x v="251"/>
    <x v="0"/>
    <n v="104.83"/>
    <s v="AED"/>
    <n v="18.856000000000002"/>
    <n v="-2120790.11"/>
    <s v="Flipkart"/>
    <n v="-2275656374"/>
    <s v="flipkart@biz.com"/>
    <s v="Travel"/>
    <s v="Flight"/>
    <s v="Australia"/>
    <x v="3"/>
    <n v="512838"/>
    <s v="XXXX-XXXX-XXXX-4249"/>
    <s v="rahl.chopra@gmail.com"/>
    <n v="8378121098"/>
    <s v="No"/>
    <s v="Manual Adjustment"/>
    <d v="2023-03-01T00:00:00"/>
  </r>
  <r>
    <s v="TX100425"/>
    <d v="2023-09-11T00:00:00"/>
    <s v="AC5794"/>
    <x v="252"/>
    <x v="0"/>
    <n v="171.12"/>
    <s v="USD"/>
    <n v="76.342500000000001"/>
    <n v="-258279.2"/>
    <s v="Swiggy"/>
    <n v="-5160638002"/>
    <s v="swiggy@biz.com"/>
    <s v="Health"/>
    <s v="Pharmacy"/>
    <s v="India"/>
    <x v="4"/>
    <n v="690194"/>
    <s v="XXXX-XXXX-XXXX-3431"/>
    <s v="rohit.bose@example.com"/>
    <n v="210785850"/>
    <s v="No"/>
    <s v="Promo Applied"/>
    <d v="2017-01-01T00:00:00"/>
  </r>
  <r>
    <s v="TX102255"/>
    <d v="2025-09-06T00:00:00"/>
    <s v="AC9065"/>
    <x v="57"/>
    <x v="1"/>
    <n v="51.23"/>
    <s v="inr"/>
    <n v="1"/>
    <n v="-1270608.22"/>
    <s v="Myntra"/>
    <n v="6649475389"/>
    <s v="myntra@biz.com"/>
    <s v="Travel"/>
    <s v="Taxi"/>
    <s v="USA"/>
    <x v="2"/>
    <n v="606426"/>
    <s v="XXXX-XXXX-7559"/>
    <m/>
    <n v="6500017175"/>
    <s v="No"/>
    <s v="Manual Adjustment"/>
    <d v="1905-07-15T00:00:00"/>
  </r>
  <r>
    <s v="TX103820"/>
    <d v="2024-10-09T00:00:00"/>
    <s v="AC5195"/>
    <x v="253"/>
    <x v="0"/>
    <n v="20.49"/>
    <s v="USD"/>
    <n v="74.027600000000007"/>
    <n v="-2118440.34"/>
    <s v="Swiggy"/>
    <n v="330795988"/>
    <s v="swiggy@biz.com"/>
    <s v="Dining"/>
    <s v="FastFood"/>
    <s v="Australia"/>
    <x v="5"/>
    <n v="237057"/>
    <s v="XXXX-XXXX-9306"/>
    <s v="neha.joshi@gmail.com"/>
    <n v="-219318863"/>
    <s v="No"/>
    <s v="Repeat Purchase"/>
    <d v="2023-11-01T00:00:00"/>
  </r>
  <r>
    <s v="TX104429"/>
    <d v="2025-07-04T00:00:00"/>
    <s v="AC8840"/>
    <x v="11"/>
    <x v="0"/>
    <n v="18.55"/>
    <s v="inr"/>
    <n v="1"/>
    <n v="-2452514.86"/>
    <s v="Flipkart"/>
    <n v="9446103955"/>
    <s v="flipkart@biz.com"/>
    <s v="Travel"/>
    <s v="Taxi"/>
    <s v="UAE"/>
    <x v="8"/>
    <n v="786022"/>
    <s v="XXXX-XXXX-4932"/>
    <s v="dev.singh@hotmail.com"/>
    <n v="-7801639422"/>
    <s v="No"/>
    <s v="Cashback Credited -- Verify_x000a_Contact Support"/>
    <d v="1905-07-11T00:00:00"/>
  </r>
  <r>
    <s v="TX103512"/>
    <d v="2024-10-09T00:00:00"/>
    <s v="AC9232"/>
    <x v="182"/>
    <x v="2"/>
    <n v="258.38"/>
    <s v="USD"/>
    <n v="82.456699999999998"/>
    <n v="-1880287.37"/>
    <s v="LocalMart"/>
    <n v="3418139879"/>
    <s v="localmart@biz.com"/>
    <s v="Utilities"/>
    <s v="Water"/>
    <s v="India"/>
    <x v="5"/>
    <n v="121972"/>
    <s v="XXXX-XXXX-8288"/>
    <s v="vikram.singh@yahoo.com"/>
    <n v="7828954654"/>
    <s v="No"/>
    <s v="Cashback Credited"/>
    <d v="2026-02-01T00:00:00"/>
  </r>
  <r>
    <s v="TX103141"/>
    <d v="2024-07-09T00:00:00"/>
    <s v="AC8526"/>
    <x v="254"/>
    <x v="0"/>
    <n v="2.58"/>
    <s v="GBP"/>
    <n v="104.9632"/>
    <n v="-1676565"/>
    <s v="Starbucks"/>
    <n v="5978293819"/>
    <s v="starbucks@biz.com"/>
    <s v="Clothing"/>
    <s v="Men"/>
    <s v="USA"/>
    <x v="0"/>
    <n v="744403"/>
    <s v="XXXX-XXXX-XXXX-4959"/>
    <s v="neha.khan@hotmail.com"/>
    <n v="6730451793"/>
    <s v="Yess"/>
    <s v="Monthly Subscription"/>
    <d v="2026-01-19T00:00:00"/>
  </r>
  <r>
    <s v="TX105120"/>
    <d v="2024-06-02T00:00:00"/>
    <s v="AC5043"/>
    <x v="255"/>
    <x v="0"/>
    <n v="6.32"/>
    <s v="USD"/>
    <n v="82.164900000000003"/>
    <n v="-2677865.58"/>
    <s v="Amazon"/>
    <n v="339966160"/>
    <s v="amazon@biz.com"/>
    <s v="Education"/>
    <s v="Books"/>
    <s v="Canada"/>
    <x v="4"/>
    <n v="677487"/>
    <s v="XXXX-XXXX-4523"/>
    <s v="vikram.joshi@hotmail.com"/>
    <n v="2832941484"/>
    <s v="No"/>
    <s v="Promo Applied"/>
    <d v="2022-05-01T00:00:00"/>
  </r>
  <r>
    <s v="TX100113"/>
    <d v="2024-06-12T00:00:00"/>
    <s v="AC2825"/>
    <x v="199"/>
    <x v="0"/>
    <n v="636.44000000000005"/>
    <s v="USD"/>
    <n v="82.295900000000003"/>
    <n v="-145694.68"/>
    <s v="Paytm Mall"/>
    <n v="5548874481"/>
    <s v="paytmmall@biz.com"/>
    <s v="Electronics"/>
    <s v="Laptop"/>
    <s v="India"/>
    <x v="1"/>
    <n v="602736"/>
    <s v="XXXX-XXXX-5794"/>
    <s v="sam.singh@hotmail.com"/>
    <n v="8250652598"/>
    <s v="No"/>
    <s v="Repeat Purchase"/>
    <d v="2023-01-01T00:00:00"/>
  </r>
  <r>
    <s v="TX103913"/>
    <d v="2024-02-02T00:00:00"/>
    <s v="AC6476"/>
    <x v="222"/>
    <x v="0"/>
    <n v="12.01"/>
    <s v="USD"/>
    <n v="77.211399999999998"/>
    <n v="-2120438.27"/>
    <s v="Walmart"/>
    <n v="-1942111623"/>
    <s v="walmart@biz.com"/>
    <s v="Education"/>
    <s v="Course"/>
    <s v="UK"/>
    <x v="0"/>
    <n v="682325"/>
    <s v="XXXX-XXXX-3818"/>
    <s v="rohit.iyer@example.com"/>
    <n v="2171827644"/>
    <s v="No"/>
    <s v="Suspected Fraud"/>
    <d v="2020-02-11T00:00:00"/>
  </r>
  <r>
    <s v="TX103456"/>
    <d v="2025-02-09T00:00:00"/>
    <s v="AC8941"/>
    <x v="4"/>
    <x v="0"/>
    <n v="122.31"/>
    <s v="inr"/>
    <n v="1"/>
    <n v="-1850203.57"/>
    <s v="AutoZone"/>
    <n v="9115111866"/>
    <s v="autozone@biz.com"/>
    <s v="Dining"/>
    <s v="FastFood"/>
    <s v="UAE"/>
    <x v="7"/>
    <n v="801037"/>
    <n v="4016000000000000"/>
    <s v="priya.singh@yahoo.com"/>
    <n v="7589032548"/>
    <s v="No"/>
    <s v="Monthly Subscription"/>
    <d v="2023-12-18T00:00:00"/>
  </r>
  <r>
    <s v="TX104979"/>
    <d v="2024-09-12T00:00:00"/>
    <s v="AC5987"/>
    <x v="73"/>
    <x v="2"/>
    <n v="2.31"/>
    <s v="USD"/>
    <n v="77.446899999999999"/>
    <n v="-2622911.7000000002"/>
    <s v="ShopEasy"/>
    <n v="7465693428"/>
    <s v="shopeasy@biz.com"/>
    <s v="Dining"/>
    <s v="Cafe"/>
    <s v="USA"/>
    <x v="7"/>
    <n v="440792"/>
    <s v="XXXX-XXXX-XXXX-3325"/>
    <s v="anita.khan@hotmail.com"/>
    <n v="7016507216"/>
    <s v="No"/>
    <s v="Chargeback Requested"/>
    <d v="2023-11-21T00:00:00"/>
  </r>
  <r>
    <s v="TX105094"/>
    <d v="2024-11-01T00:00:00"/>
    <s v="AC3934"/>
    <x v="256"/>
    <x v="0"/>
    <n v="28.84"/>
    <s v="inr"/>
    <n v="1"/>
    <n v="-2653483.62"/>
    <s v="Paytm Mall"/>
    <n v="6220065819"/>
    <s v="paytmmall@biz.com"/>
    <s v="Travel"/>
    <s v="Taxi"/>
    <s v="UAE"/>
    <x v="10"/>
    <n v="803559"/>
    <s v="XXXX-XXXX-XXXX-7559"/>
    <s v="asha.sharma@gmail.com"/>
    <n v="-8487780123"/>
    <s v="No"/>
    <s v="Chargeback Requested"/>
    <d v="1905-07-13T00:00:00"/>
  </r>
  <r>
    <s v="TX103873"/>
    <d v="2024-04-09T00:00:00"/>
    <s v="AC5405"/>
    <x v="94"/>
    <x v="1"/>
    <n v="5.63"/>
    <s v="inr"/>
    <n v="1"/>
    <n v="-2119469.85"/>
    <s v="Flipkart"/>
    <n v="4198280261"/>
    <s v="flipkart@biz.com"/>
    <s v="Utilities"/>
    <s v="Internet"/>
    <s v="Canada"/>
    <x v="3"/>
    <n v="816511"/>
    <s v="XXXX-XXXX-9108"/>
    <s v="suresh.nair@example.com"/>
    <n v="-9414796048"/>
    <s v="No"/>
    <s v="Monthly Subscription"/>
    <d v="2022-12-31T00:00:00"/>
  </r>
  <r>
    <s v="TX100970"/>
    <d v="2024-10-01T00:00:00"/>
    <s v="AC9945"/>
    <x v="234"/>
    <x v="1"/>
    <n v="38.619999999999997"/>
    <s v="inr"/>
    <n v="1"/>
    <n v="-538147.64"/>
    <s v="Flipkart"/>
    <n v="-7605334991"/>
    <s v="flipkart@biz.com"/>
    <s v="Health"/>
    <s v="Clinic"/>
    <s v="USA"/>
    <x v="6"/>
    <n v="415737"/>
    <s v="XXXX-XXXX-8131"/>
    <s v="asha.iyer@example.com"/>
    <n v="9832622726"/>
    <s v="No"/>
    <s v="Monthly Subscription"/>
    <d v="2025-06-06T00:00:00"/>
  </r>
  <r>
    <s v="TX102696"/>
    <d v="2023-09-10T00:00:00"/>
    <s v="AC2617"/>
    <x v="195"/>
    <x v="0"/>
    <n v="121.28"/>
    <s v="USD"/>
    <n v="79.8767"/>
    <n v="-1602820.45"/>
    <s v="Swiggy"/>
    <n v="964558999"/>
    <s v="swiggy@biz.com"/>
    <s v="Utilities"/>
    <s v="Internet"/>
    <s v="Canada"/>
    <x v="5"/>
    <n v="557169"/>
    <s v="XXXX-XXXX-8741"/>
    <s v="arjun.reddy@gmail.com"/>
    <n v="9430557829"/>
    <s v="No"/>
    <s v="Cashback Credited"/>
    <d v="2022-06-03T00:00:00"/>
  </r>
  <r>
    <s v="TX102437"/>
    <d v="2025-07-07T00:00:00"/>
    <s v="AC8929"/>
    <x v="44"/>
    <x v="0"/>
    <n v="89.23"/>
    <s v="USD"/>
    <n v="73.606200000000001"/>
    <n v="-1412730.48"/>
    <s v="LocalMart"/>
    <n v="5085638942"/>
    <s v="localmart@biz.com"/>
    <s v="Clothing"/>
    <s v="Women"/>
    <s v="UAE"/>
    <x v="8"/>
    <n v="575186"/>
    <s v="XXXX-XXXX-1933"/>
    <s v="raj.singh@yahoo.com"/>
    <n v="7484489213"/>
    <s v="No"/>
    <s v="Promo Applied"/>
    <d v="1905-07-11T00:00:00"/>
  </r>
  <r>
    <s v="TX104668"/>
    <d v="2024-08-05T00:00:00"/>
    <s v="AC3643"/>
    <x v="188"/>
    <x v="0"/>
    <n v="11.85"/>
    <s v="USD"/>
    <n v="72.4131"/>
    <n v="-2467894.16"/>
    <s v="ShopEasy"/>
    <n v="1667576762"/>
    <s v="shopeasy@biz.com"/>
    <s v="Health"/>
    <s v="Clinic"/>
    <s v="Australia"/>
    <x v="2"/>
    <n v="414813"/>
    <s v="XXXX-XXXX-XXXX-5771"/>
    <s v="sana.nair@yahoo.com"/>
    <n v="8457724059"/>
    <s v="No"/>
    <s v="Repeat Purchase"/>
    <d v="2019-05-24T00:00:00"/>
  </r>
  <r>
    <s v="TX104075"/>
    <d v="2024-12-09T00:00:00"/>
    <s v="AC1859"/>
    <x v="91"/>
    <x v="0"/>
    <n v="37.93"/>
    <s v="USD"/>
    <n v="74.665400000000005"/>
    <n v="-2231747.61"/>
    <s v="AutoZone"/>
    <n v="1188863602"/>
    <s v="autozone@biz.com"/>
    <s v="Dining"/>
    <s v="FastFood"/>
    <s v="India"/>
    <x v="3"/>
    <n v="823185"/>
    <s v="XXXX-XXXX-2196"/>
    <s v="amit.desai@example.com "/>
    <n v="-7276562088"/>
    <s v="No"/>
    <s v="Chargeback Requested"/>
    <d v="1905-07-11T00:00:00"/>
  </r>
  <r>
    <s v="TX101139"/>
    <d v="2023-03-12T00:00:00"/>
    <s v="AC6049"/>
    <x v="243"/>
    <x v="1"/>
    <n v="76.819999999999993"/>
    <s v="USD"/>
    <n v="82.551599999999993"/>
    <n v="-556514.06999999995"/>
    <s v="BigBasket"/>
    <n v="6091595312"/>
    <s v="bigbasket@biz.com"/>
    <s v="Utilities"/>
    <s v="Water"/>
    <s v="Australia"/>
    <x v="4"/>
    <n v="863876"/>
    <s v="XXXX-XXXX-3748"/>
    <s v="priya.bose@gmail.com"/>
    <n v="8663437916"/>
    <s v="No"/>
    <s v="Suspected Fraud"/>
    <d v="2025-02-01T00:00:00"/>
  </r>
  <r>
    <s v="TX100348"/>
    <d v="2025-05-03T00:00:00"/>
    <s v="AC3710"/>
    <x v="219"/>
    <x v="0"/>
    <n v="13.98"/>
    <s v="GBP"/>
    <n v="103.9598"/>
    <n v="-176127.1"/>
    <s v="AutoZone"/>
    <n v="-8098778680"/>
    <s v="autozone@biz.com"/>
    <s v="Automotive"/>
    <s v="Fuel"/>
    <s v="USA"/>
    <x v="3"/>
    <n v="778743"/>
    <n v="4041730000000000"/>
    <s v="karan.singh@yahoo.com"/>
    <n v="1343504146"/>
    <s v="No"/>
    <s v="Suspected Fraud"/>
    <d v="2025-08-17T00:00:00"/>
  </r>
  <r>
    <s v="TX105632"/>
    <d v="2024-06-07T00:00:00"/>
    <s v="AC3438"/>
    <x v="178"/>
    <x v="0"/>
    <n v="39.71"/>
    <s v="AED"/>
    <n v="18.579599999999999"/>
    <n v="-2873348.44"/>
    <s v="AutoZone"/>
    <n v="2390442797"/>
    <s v="autozone@biz.com"/>
    <s v="Education"/>
    <s v="Books"/>
    <s v="UAE"/>
    <x v="0"/>
    <n v="627619"/>
    <s v="XXXX-XXXX-XXXX-2123"/>
    <s v="lina.desai@example.com"/>
    <n v="-9844303103"/>
    <s v="No"/>
    <s v="Suspected Fraud"/>
    <d v="2025-04-01T00:00:00"/>
  </r>
  <r>
    <s v="TX103382"/>
    <d v="2024-05-03T00:00:00"/>
    <s v="AC3976"/>
    <x v="73"/>
    <x v="0"/>
    <n v="42.74"/>
    <s v="GBP"/>
    <n v="91.685400000000001"/>
    <n v="-1824684.9"/>
    <s v="Paytm Mall"/>
    <n v="2670966107"/>
    <s v="paytmmall@biz.com"/>
    <s v="Automotive"/>
    <s v="Fuel"/>
    <s v="USA"/>
    <x v="2"/>
    <n v="911566"/>
    <s v="XXXX-XXXX-9378"/>
    <s v="anita.khan@example.com"/>
    <n v="-3083939806"/>
    <s v="No"/>
    <s v="Monthly Subscription"/>
    <d v="1905-07-13T00:00:00"/>
  </r>
  <r>
    <s v="TX100585"/>
    <d v="2025-10-07T00:00:00"/>
    <s v="AC9503"/>
    <x v="228"/>
    <x v="0"/>
    <n v="44.61"/>
    <s v="USD"/>
    <n v="77.476600000000005"/>
    <n v="-279974.38"/>
    <s v="ElectroWorld"/>
    <n v="9745108603"/>
    <s v="electroworld@biz.com"/>
    <s v="Automotive"/>
    <s v="Fuel"/>
    <s v="Australia"/>
    <x v="6"/>
    <n v="110645"/>
    <s v="XXXX-XXXX-XXXX-4105"/>
    <s v="karan.patel@example.com"/>
    <n v="3216718663"/>
    <s v="No"/>
    <s v="Repeat Purchase"/>
    <d v="2019-09-22T00:00:00"/>
  </r>
  <r>
    <s v="TX103936"/>
    <d v="2024-09-04T00:00:00"/>
    <s v="AC9366"/>
    <x v="25"/>
    <x v="1"/>
    <n v="148.33000000000001"/>
    <s v="USD"/>
    <n v="80.660600000000002"/>
    <n v="-2121191.62"/>
    <s v="Swiggy"/>
    <n v="639284906"/>
    <s v="swiggy@biz.com"/>
    <s v="Entertainment"/>
    <s v="Concert"/>
    <s v="India"/>
    <x v="8"/>
    <n v="241097"/>
    <s v="XXXX-XXXX-5086"/>
    <s v="rohit.chopra@hotmail.com"/>
    <n v="7142037252"/>
    <s v="No"/>
    <s v="Promo Applied"/>
    <d v="2015-07-27T00:00:00"/>
  </r>
  <r>
    <s v="TX105902"/>
    <d v="2024-05-06T00:00:00"/>
    <s v="AC7196"/>
    <x v="74"/>
    <x v="0"/>
    <n v="27.6"/>
    <s v="USD"/>
    <n v="81.221699999999998"/>
    <n v="-2922670.44"/>
    <s v="ElectroWorld"/>
    <n v="5891414075"/>
    <s v="electroworld@biz.com"/>
    <s v="Dining"/>
    <s v="Restaurant"/>
    <s v="USA"/>
    <x v="8"/>
    <n v="781044"/>
    <s v="XXXX-XXXX-1811"/>
    <s v="neha.reddy@yahoo.com"/>
    <n v="1210511350"/>
    <s v="No"/>
    <s v="Chargeback Requested"/>
    <d v="2015-04-01T00:00:00"/>
  </r>
  <r>
    <s v="TX104907"/>
    <d v="2024-07-01T00:00:00"/>
    <s v="AC9152"/>
    <x v="113"/>
    <x v="1"/>
    <n v="-8.3000000000000007"/>
    <s v="GBP"/>
    <n v="98.994500000000002"/>
    <n v="-2582750.83"/>
    <s v="Zomato"/>
    <n v="8161956414"/>
    <s v="zomato@biz.com"/>
    <s v="Education"/>
    <s v="Books"/>
    <s v="UK"/>
    <x v="6"/>
    <n v="557164"/>
    <s v="XXXX-XXXX-4378"/>
    <s v="sana.reddy@yahoo.com"/>
    <n v="4135679644"/>
    <s v="No"/>
    <s v="Monthly Subscription"/>
    <d v="2024-01-22T00:00:00"/>
  </r>
  <r>
    <s v="TX100489"/>
    <d v="2024-09-03T00:00:00"/>
    <s v="AC1129"/>
    <x v="117"/>
    <x v="0"/>
    <n v="95.39"/>
    <s v="USD"/>
    <n v="79.362799999999993"/>
    <n v="-260260.24"/>
    <s v="Reliance"/>
    <n v="-2079283080"/>
    <s v="reliance@biz.com"/>
    <s v="Entertainment"/>
    <s v="Streaming"/>
    <s v="Canada"/>
    <x v="1"/>
    <n v="366326"/>
    <n v="4180030000000000"/>
    <s v="dev.gupta@hotmail.com"/>
    <n v="5112445658"/>
    <s v="No"/>
    <s v="Manual Adjustment"/>
    <d v="2018-05-10T00:00:00"/>
  </r>
  <r>
    <s v="TX104419"/>
    <d v="2024-09-04T00:00:00"/>
    <s v="AC9368"/>
    <x v="132"/>
    <x v="0"/>
    <n v="2.31"/>
    <s v="inr"/>
    <n v="1"/>
    <n v="-2452266.84"/>
    <s v="Reliance"/>
    <n v="7059824002"/>
    <s v="reliance@biz.com"/>
    <s v="Electronics"/>
    <s v="Mobile"/>
    <s v="Australia"/>
    <x v="8"/>
    <n v="165193"/>
    <s v="XXXX-XXXX-6140"/>
    <s v="neha.iyer@gmail.com"/>
    <n v="1045577664"/>
    <s v="No"/>
    <s v="Chargeback Requested"/>
    <d v="2025-02-01T00:00:00"/>
  </r>
  <r>
    <s v="TX101838"/>
    <d v="2024-07-09T00:00:00"/>
    <s v="AC2507"/>
    <x v="257"/>
    <x v="1"/>
    <n v="31.82"/>
    <s v="AED"/>
    <n v="19.278600000000001"/>
    <n v="-1131884"/>
    <s v="Reliance"/>
    <n v="9459143624"/>
    <s v="reliance@biz.com"/>
    <s v="Entertainment"/>
    <s v="Streaming"/>
    <s v="UAE"/>
    <x v="4"/>
    <n v="768818"/>
    <s v="XXXX-XXXX-3371"/>
    <s v="sana.singh@hotmail.com"/>
    <n v="1607879169"/>
    <s v="No"/>
    <s v="Manual Adjustment"/>
    <d v="1905-07-08T00:00:00"/>
  </r>
  <r>
    <s v="TX101891"/>
    <d v="2023-07-10T00:00:00"/>
    <s v="AC3791"/>
    <x v="51"/>
    <x v="1"/>
    <n v="33.369999999999997"/>
    <s v="AED"/>
    <n v="21.107800000000001"/>
    <n v="-1162827.51"/>
    <s v="Flipkart"/>
    <n v="9342828972"/>
    <s v="flipkart@biz.com"/>
    <s v="Health"/>
    <s v="Pharmacy"/>
    <s v="Canada"/>
    <x v="0"/>
    <n v="920223"/>
    <s v="XXXX-XXXX-4135"/>
    <s v="isha.singh@yahoocom"/>
    <n v="18065266"/>
    <s v="No"/>
    <s v="Promo Applied"/>
    <d v="2022-06-01T00:00:00"/>
  </r>
  <r>
    <s v="TX105798"/>
    <d v="2023-12-09T00:00:00"/>
    <s v="AC8722"/>
    <x v="46"/>
    <x v="0"/>
    <n v="61.08"/>
    <s v="USD"/>
    <n v="76.660600000000002"/>
    <n v="-2903957.03"/>
    <s v="Walmart"/>
    <n v="8540357358"/>
    <s v="walmart@biz.com"/>
    <s v="Dining"/>
    <s v="Restaurant"/>
    <s v="Australia"/>
    <x v="8"/>
    <n v="143267"/>
    <s v="XXXX-XXXX-7694"/>
    <s v="karan.sharma@yahoocom"/>
    <n v="3791688735"/>
    <s v="No"/>
    <s v="Suspected Fraud"/>
    <d v="2015-10-01T00:00:00"/>
  </r>
  <r>
    <s v="TX101200"/>
    <d v="2024-09-07T00:00:00"/>
    <s v="AC8888"/>
    <x v="212"/>
    <x v="0"/>
    <n v="38.49"/>
    <s v="inr"/>
    <n v="1"/>
    <n v="-593478.66"/>
    <s v="Swiggy"/>
    <n v="8111683447"/>
    <s v="swiggy@biz.com"/>
    <s v="Travel"/>
    <s v="Flight"/>
    <s v="UK"/>
    <x v="10"/>
    <n v="271405"/>
    <s v="XXXX-XXXX-4848"/>
    <s v="raj.joshi@example.com"/>
    <n v="5835620421"/>
    <s v="No"/>
    <s v="Monthly Subscription"/>
    <d v="1905-07-15T00:00:00"/>
  </r>
  <r>
    <s v="TX102018"/>
    <d v="2023-12-12T00:00:00"/>
    <s v="AC1038"/>
    <x v="182"/>
    <x v="0"/>
    <n v="70.989999999999995"/>
    <s v="USD"/>
    <n v="82.049400000000006"/>
    <n v="-1198279.73"/>
    <s v="AutoZone"/>
    <n v="1304007763"/>
    <s v="autozone@biz.com"/>
    <s v="Health"/>
    <s v="Pharmacy"/>
    <s v="Australia"/>
    <x v="4"/>
    <n v="295263"/>
    <s v="XXXX-XXXX-7081"/>
    <s v="vikram.singh@gmail.com"/>
    <n v="5719531424"/>
    <s v="No"/>
    <s v="Monthly Subscription"/>
    <d v="1905-07-15T00:00:00"/>
  </r>
  <r>
    <s v="TX105237"/>
    <d v="2025-09-04T00:00:00"/>
    <s v="AC1745"/>
    <x v="11"/>
    <x v="2"/>
    <n v="140.19999999999999"/>
    <s v="GBP"/>
    <n v="105.89100000000001"/>
    <n v="-2682149.6"/>
    <s v="ShopEasy"/>
    <n v="9261671604"/>
    <s v="shopeasy@biz.com"/>
    <s v="Utilities"/>
    <s v="Internet"/>
    <s v="Australia"/>
    <x v="8"/>
    <n v="314274"/>
    <s v="XXXX-XXXX-XXXX-7811"/>
    <s v="dev.singh@gmail.com"/>
    <n v="8583568693"/>
    <s v="No"/>
    <s v="Chargeback Requested"/>
    <d v="2025-09-01T00:00:00"/>
  </r>
  <r>
    <s v="TX105817"/>
    <d v="2025-10-03T00:00:00"/>
    <s v="AC7455"/>
    <x v="258"/>
    <x v="0"/>
    <n v="40.909999999999997"/>
    <s v="USD"/>
    <n v="79.5501"/>
    <n v="-2904076.3"/>
    <s v="ElectroWorld"/>
    <n v="-9211253792"/>
    <s v="electroworld@biz.com"/>
    <s v="Utilities"/>
    <s v="Water"/>
    <s v="UK"/>
    <x v="0"/>
    <n v="466392"/>
    <s v="XXXX-XXXX-7987"/>
    <s v="arjun.bse@example.com"/>
    <n v="2112805461"/>
    <s v="No"/>
    <s v="Chargeback Requested"/>
    <d v="2020-04-03T00:00:00"/>
  </r>
  <r>
    <s v="TX102187"/>
    <d v="2025-04-01T00:00:00"/>
    <s v="AC5254"/>
    <x v="59"/>
    <x v="1"/>
    <n v="24.05"/>
    <s v="USD"/>
    <n v="82.376300000000001"/>
    <n v="-1221652.57"/>
    <s v="AutoZone"/>
    <n v="859511226"/>
    <s v="autozone@biz.com"/>
    <s v="Clothing"/>
    <s v="Women"/>
    <s v="USA"/>
    <x v="10"/>
    <n v="962029"/>
    <s v="XXXX-XXXX-XXXX-7871"/>
    <s v="anita.singh@hotmail.com"/>
    <n v="422716407"/>
    <s v="No"/>
    <s v="Chargeback Requested"/>
    <d v="2025-02-18T00:00:00"/>
  </r>
  <r>
    <s v="TX102664"/>
    <d v="2024-08-01T00:00:00"/>
    <s v="AC8138"/>
    <x v="259"/>
    <x v="0"/>
    <n v="57.73"/>
    <s v="USD"/>
    <n v="75.139499999999998"/>
    <n v="-1561090.08"/>
    <s v="Flipkart"/>
    <n v="759072775"/>
    <s v="flipkart@biz.com"/>
    <s v="Health"/>
    <s v="Clinic"/>
    <s v="India"/>
    <x v="8"/>
    <n v="192876"/>
    <s v="XXXX-XXXX-5604"/>
    <s v="arjun.bose@hotmail.com"/>
    <n v="6007661724"/>
    <s v="No"/>
    <s v="Monthly Subscription"/>
    <d v="1905-07-07T00:00:00"/>
  </r>
  <r>
    <s v="TX101636"/>
    <d v="2024-08-10T00:00:00"/>
    <s v="AC6083"/>
    <x v="163"/>
    <x v="0"/>
    <n v="10.53"/>
    <s v="USD"/>
    <n v="73.359300000000005"/>
    <n v="-1076166.8899999999"/>
    <s v="Myntra"/>
    <n v="7128691298"/>
    <s v="myntra@biz.com"/>
    <s v="Travel"/>
    <s v="Flight"/>
    <s v="India"/>
    <x v="8"/>
    <n v="609968"/>
    <s v="XXXX-XXXX-XXXX-7835"/>
    <s v="maya.mehta@yahoo.com"/>
    <n v="3623940368"/>
    <s v="No"/>
    <s v="Promo Applied"/>
    <d v="2018-07-09T00:00:00"/>
  </r>
  <r>
    <s v="TX101411"/>
    <d v="2023-12-10T00:00:00"/>
    <s v="AC5830"/>
    <x v="97"/>
    <x v="2"/>
    <n v="-64.55"/>
    <s v="GBP"/>
    <n v="90.190799999999996"/>
    <n v="-975337.09"/>
    <s v="Myntra"/>
    <n v="1450736296"/>
    <s v="myntra@biz.com"/>
    <s v="Electronics"/>
    <s v="Mobile"/>
    <s v="UK"/>
    <x v="0"/>
    <n v="836129"/>
    <s v="XXXX-XXXX-4620"/>
    <s v="vikram.bose@hotmail.com"/>
    <n v="6444277028"/>
    <s v="No"/>
    <s v="Cashback Credited"/>
    <d v="1905-07-09T00:00:00"/>
  </r>
  <r>
    <s v="TX105910"/>
    <d v="2025-03-08T00:00:00"/>
    <s v="AC8255"/>
    <x v="196"/>
    <x v="0"/>
    <n v="60.76"/>
    <s v="USD"/>
    <n v="81.913499999999999"/>
    <n v="-2933303.14"/>
    <s v="LocalMart"/>
    <n v="6481603114"/>
    <s v="localmart@biz.com"/>
    <s v="Utilities"/>
    <s v="Water"/>
    <s v="UK"/>
    <x v="5"/>
    <n v="526883"/>
    <s v="XXXX-XXXX-2602"/>
    <s v="lina.roy@example.com"/>
    <n v="5085638942"/>
    <s v="No"/>
    <s v="Chargeback Requested"/>
    <d v="2023-11-01T00:00:00"/>
  </r>
  <r>
    <s v="TX103703"/>
    <d v="2025-12-07T00:00:00"/>
    <s v="AC8594"/>
    <x v="113"/>
    <x v="0"/>
    <n v="12.13"/>
    <s v="USD"/>
    <n v="74.653300000000002"/>
    <n v="-1937191.49"/>
    <s v="AutoZone"/>
    <n v="5935105738"/>
    <s v="autozone@biz.com"/>
    <s v="Automotive"/>
    <s v="Fuel"/>
    <s v="UK"/>
    <x v="8"/>
    <n v="267262"/>
    <s v="XXXX-XXXX-2159"/>
    <s v="sana.reddy@yahoo.com"/>
    <n v="-196462847"/>
    <s v="No"/>
    <s v="Cashback Credited"/>
    <d v="2021-12-01T00:00:00"/>
  </r>
  <r>
    <s v="TX102286"/>
    <d v="2024-08-03T00:00:00"/>
    <s v="AC8441"/>
    <x v="260"/>
    <x v="1"/>
    <n v="84.78"/>
    <s v="GBP"/>
    <n v="90.115399999999994"/>
    <n v="-1271305.57"/>
    <s v="Reliance"/>
    <n v="-5551527546"/>
    <s v="reliance@biz.com"/>
    <s v="Groceries"/>
    <s v="Specialty"/>
    <s v="Canada"/>
    <x v="4"/>
    <n v="265093"/>
    <n v="4481740000000000"/>
    <s v="maya.das@hotmailcom"/>
    <n v="1307065592"/>
    <s v="No"/>
    <s v="Promo Applied"/>
    <d v="2024-09-16T00:00:00"/>
  </r>
  <r>
    <s v="TX104948"/>
    <d v="2024-05-12T00:00:00"/>
    <s v="AC6011"/>
    <x v="134"/>
    <x v="0"/>
    <n v="-20.85"/>
    <s v="inr"/>
    <n v="1"/>
    <n v="-2592843.0699999998"/>
    <s v="Reliance"/>
    <n v="-9447826775"/>
    <s v="reliance@biz.com"/>
    <s v="Health"/>
    <s v="Clinic"/>
    <s v="USA"/>
    <x v="8"/>
    <n v="403969"/>
    <m/>
    <s v="lina.sharma@gmail.com"/>
    <n v="6298374768"/>
    <s v="No"/>
    <s v="Promo Applied"/>
    <d v="1905-07-17T00:00:00"/>
  </r>
  <r>
    <s v="TX105532"/>
    <d v="2025-05-04T00:00:00"/>
    <s v="AC2320"/>
    <x v="45"/>
    <x v="1"/>
    <n v="160.55000000000001"/>
    <s v="AED"/>
    <n v="21.518899999999999"/>
    <n v="-2866643.2"/>
    <s v="BigBasket"/>
    <n v="-4351695136"/>
    <s v="bigbasket@biz.com"/>
    <s v="Utilities"/>
    <s v="Electricity"/>
    <s v="USA"/>
    <x v="7"/>
    <n v="335717"/>
    <s v="XXXX-XXXX-4258"/>
    <m/>
    <n v="3335421135"/>
    <s v="No"/>
    <s v="Promo Applied"/>
    <d v="1905-07-13T00:00:00"/>
  </r>
  <r>
    <s v="TX101616"/>
    <d v="2024-03-05T00:00:00"/>
    <s v="AC8398"/>
    <x v="96"/>
    <x v="0"/>
    <n v="47.39"/>
    <s v="AED"/>
    <n v="19.816700000000001"/>
    <n v="-1024994.9"/>
    <s v="Amazon"/>
    <n v="9841981148"/>
    <s v="amazon@biz.com"/>
    <s v="Health"/>
    <s v="Pharmacy"/>
    <s v="Australia"/>
    <x v="8"/>
    <n v="283216"/>
    <m/>
    <s v="arjun.nair@yahoo.com"/>
    <n v="6552761852"/>
    <s v="No"/>
    <s v="Promo Applied"/>
    <d v="1905-07-12T00:00:00"/>
  </r>
  <r>
    <s v="TX103606"/>
    <d v="2024-01-02T00:00:00"/>
    <s v="AC5882"/>
    <x v="261"/>
    <x v="0"/>
    <n v="12.99"/>
    <s v="AED"/>
    <n v="20.250800000000002"/>
    <n v="-1931856.98"/>
    <s v="Amazon"/>
    <n v="-3007633270"/>
    <s v="amazon@biz.com"/>
    <s v="Health"/>
    <s v="Pharmacy"/>
    <s v="UK"/>
    <x v="5"/>
    <n v="984523"/>
    <s v="XXXX-XXXX-1775"/>
    <s v="sana.mehta@hotmail.com"/>
    <n v="-5955395164"/>
    <s v="No"/>
    <s v="Repeat Purchase"/>
    <d v="2021-01-01T00:00:00"/>
  </r>
  <r>
    <s v="TX104505"/>
    <d v="2024-01-03T00:00:00"/>
    <s v="AC8384"/>
    <x v="64"/>
    <x v="1"/>
    <n v="52.21"/>
    <s v="GBP"/>
    <n v="98.075100000000006"/>
    <n v="-2463416.9900000002"/>
    <s v="BigBasket"/>
    <n v="5179948749"/>
    <s v="bigbasket@biz.com"/>
    <s v="Entertainment"/>
    <s v="Concert"/>
    <s v="India"/>
    <x v="6"/>
    <n v="850825"/>
    <s v="XXXX-XXXX-XXXX-8219"/>
    <s v="ritu.sharma@gmail.com"/>
    <n v="5342321668"/>
    <s v="No"/>
    <s v="Promo Applied"/>
    <d v="1905-07-17T00:00:00"/>
  </r>
  <r>
    <s v="TX100925"/>
    <d v="2024-08-11T00:00:00"/>
    <s v="AC3277"/>
    <x v="132"/>
    <x v="0"/>
    <n v="5.32"/>
    <s v="inr"/>
    <n v="1"/>
    <n v="-529946.01"/>
    <s v="Paytm Mall"/>
    <n v="6309671120"/>
    <s v="paytmmall@biz.com"/>
    <s v="Education"/>
    <s v="Course"/>
    <s v="USA"/>
    <x v="8"/>
    <n v="374610"/>
    <s v="XXXX-XXXX-XXXX-7106"/>
    <s v="neha.iyer@yahoo.com"/>
    <n v="555885065"/>
    <s v="No"/>
    <s v="Cashback Credited -- Verify_x000a_Contact Support"/>
    <d v="2024-01-18T00:00:00"/>
  </r>
  <r>
    <s v="TX105569"/>
    <d v="2024-03-10T00:00:00"/>
    <s v="AC9235"/>
    <x v="160"/>
    <x v="1"/>
    <n v="10"/>
    <s v="inr"/>
    <n v="1"/>
    <n v="-2868192.05"/>
    <s v="LocalMart"/>
    <n v="1913108020"/>
    <s v="localmart@biz.com"/>
    <s v="Entertainment"/>
    <s v="Streaming"/>
    <s v="UAE"/>
    <x v="1"/>
    <n v="761860"/>
    <s v="XXXX-XXXX-9457"/>
    <s v="arjun.chopra@yahoo.com"/>
    <n v="7457967076"/>
    <s v="No"/>
    <s v="Chargeback Requested"/>
    <d v="1905-07-07T00:00:00"/>
  </r>
  <r>
    <s v="TX100478"/>
    <d v="2023-07-11T00:00:00"/>
    <s v="AC7221"/>
    <x v="262"/>
    <x v="0"/>
    <n v="1332.29"/>
    <s v="inr"/>
    <n v="1"/>
    <n v="-260001.14"/>
    <s v="Zomato"/>
    <n v="5487517243"/>
    <s v="zomato@biz.com"/>
    <s v="Automotive"/>
    <s v="Repair"/>
    <s v="India"/>
    <x v="4"/>
    <n v="227422"/>
    <s v="XXXX-XXXX-7657"/>
    <s v="karan.desai@gmail.com"/>
    <n v="5006629945"/>
    <s v="No"/>
    <s v="Repeat Purchase"/>
    <d v="2024-06-20T00:00:00"/>
  </r>
  <r>
    <s v="TX103463"/>
    <d v="2024-10-11T00:00:00"/>
    <s v="AC8998"/>
    <x v="263"/>
    <x v="1"/>
    <n v="113.1"/>
    <s v="inr"/>
    <n v="1"/>
    <n v="-1850559.71"/>
    <s v="AutoZone"/>
    <n v="4437583797"/>
    <s v="autozone@biz.com"/>
    <s v="Entertainment"/>
    <s v="Streaming"/>
    <s v="Australia"/>
    <x v="1"/>
    <n v="287639"/>
    <s v="XXXX-XXXX-4869"/>
    <s v="suresh.joshi@yahoo.com"/>
    <n v="9135030491"/>
    <s v="No"/>
    <s v="Monthly Subscription"/>
    <d v="2017-04-19T00:00:00"/>
  </r>
  <r>
    <s v="TX105657"/>
    <d v="2025-02-01T00:00:00"/>
    <s v="AC5492"/>
    <x v="135"/>
    <x v="0"/>
    <n v="-31.4"/>
    <s v="inr"/>
    <n v="1"/>
    <n v="-2873919.68"/>
    <s v="Walmart"/>
    <n v="6701062727"/>
    <s v="walmart@biz.com"/>
    <s v="Clothing"/>
    <s v="Men"/>
    <s v="India"/>
    <x v="1"/>
    <n v="524219"/>
    <s v="XXXX-XXXX-XXXX-1259"/>
    <s v="priya.mehta@hotmail.com"/>
    <n v="2411746286"/>
    <s v="No"/>
    <s v="Repeat Purchase"/>
    <d v="2020-10-01T00:00:00"/>
  </r>
  <r>
    <s v="TX102899"/>
    <d v="2024-05-06T00:00:00"/>
    <s v="AC8924"/>
    <x v="21"/>
    <x v="0"/>
    <n v="46.75"/>
    <s v="inr"/>
    <n v="1"/>
    <n v="-1639692.28"/>
    <s v="Walmart"/>
    <n v="69353320"/>
    <s v="walmart@biz.com"/>
    <s v="Dining"/>
    <s v="Cafe"/>
    <s v="Canada"/>
    <x v="3"/>
    <n v="813787"/>
    <s v="XXXX-XXXX-5610"/>
    <s v="vikram.das@gmail.com"/>
    <n v="4103163782"/>
    <s v="No"/>
    <s v="Promo Applied"/>
    <d v="1905-07-13T00:00:00"/>
  </r>
  <r>
    <s v="TX104305"/>
    <d v="2024-10-02T00:00:00"/>
    <s v="AC9460"/>
    <x v="148"/>
    <x v="0"/>
    <n v="4.87"/>
    <s v="USD"/>
    <n v="73.454300000000003"/>
    <n v="-2308504.27"/>
    <s v="AutoZone"/>
    <n v="3029567494"/>
    <s v="autozone@biz.com"/>
    <s v="Dining"/>
    <s v="Restaurant"/>
    <s v="USA"/>
    <x v="1"/>
    <n v="529390"/>
    <s v="XXXX-XXXX-XXXX-9143"/>
    <m/>
    <n v="6468498118"/>
    <s v="No"/>
    <s v="Monthly Subscription"/>
    <d v="1905-07-08T00:00:00"/>
  </r>
  <r>
    <s v="TX102078"/>
    <d v="2024-12-11T00:00:00"/>
    <s v="AC1276"/>
    <x v="157"/>
    <x v="0"/>
    <n v="28.01"/>
    <s v="inr"/>
    <n v="1"/>
    <n v="-1199612.3"/>
    <s v="LocalMart"/>
    <n v="-1175313211"/>
    <s v="localmart@biz.com"/>
    <s v="Groceries"/>
    <s v="Supermarket"/>
    <s v="UK"/>
    <x v="8"/>
    <n v="157217"/>
    <s v="XXXX-XXXX-XXXX-9116"/>
    <m/>
    <n v="5354730480"/>
    <s v="No"/>
    <s v="Chargeback Requested"/>
    <d v="2016-02-06T00:00:00"/>
  </r>
  <r>
    <s v="TX100153"/>
    <d v="2025-06-01T00:00:00"/>
    <s v="AC1301"/>
    <x v="229"/>
    <x v="2"/>
    <n v="43.76"/>
    <s v="inr"/>
    <n v="1"/>
    <n v="-159541.63"/>
    <s v="Reliance"/>
    <n v="3190799274"/>
    <s v="reliance@biz.com"/>
    <s v="Clothing"/>
    <s v="Men"/>
    <s v="UK"/>
    <x v="6"/>
    <n v="356234"/>
    <s v="XXXX-XXXX-6970"/>
    <s v="sam.nair@yahoo.com"/>
    <n v="2571544008"/>
    <s v="No"/>
    <s v="Cashback Credited"/>
    <d v="2019-12-01T00:00:00"/>
  </r>
  <r>
    <s v="TX102433"/>
    <d v="2024-03-12T00:00:00"/>
    <s v="AC2396"/>
    <x v="163"/>
    <x v="0"/>
    <n v="26.86"/>
    <s v="inr"/>
    <n v="1"/>
    <n v="-1412660.65"/>
    <s v="Zomato"/>
    <n v="-9916980610"/>
    <s v="zomato@biz.com"/>
    <s v="Entertainment"/>
    <s v="Concert"/>
    <s v="UK"/>
    <x v="8"/>
    <n v="469578"/>
    <n v="4532410000000000"/>
    <s v="maya.mehta@hotmail.com"/>
    <n v="-4903245750"/>
    <s v="No"/>
    <s v="Promo Applied"/>
    <d v="2021-02-11T00:00:00"/>
  </r>
  <r>
    <s v="TX102514"/>
    <d v="2024-05-10T00:00:00"/>
    <s v="AC2501"/>
    <x v="189"/>
    <x v="1"/>
    <n v="28.49"/>
    <s v="AED"/>
    <n v="18.729299999999999"/>
    <n v="-1500868.05"/>
    <s v="Amazon"/>
    <n v="3990150324"/>
    <s v="amazon@biz.com"/>
    <s v="Groceries"/>
    <s v="Supermarket"/>
    <s v="UAE"/>
    <x v="8"/>
    <n v="897524"/>
    <s v="XXXX-XXXX-7343"/>
    <s v="raj.bose@hotmail.com"/>
    <n v="2970352547"/>
    <s v="No"/>
    <s v="Chargeback Requested"/>
    <d v="1905-07-09T00:00:00"/>
  </r>
  <r>
    <s v="TX101486"/>
    <d v="2024-05-09T00:00:00"/>
    <s v="AC6112"/>
    <x v="264"/>
    <x v="0"/>
    <n v="6.04"/>
    <s v="USD"/>
    <n v="75.029899999999998"/>
    <n v="-986129.25"/>
    <s v="Flipkart"/>
    <n v="8944175891"/>
    <s v="flipkart@biz.com"/>
    <s v="Electronics"/>
    <s v="Laptop"/>
    <s v="UAE"/>
    <x v="8"/>
    <n v="513604"/>
    <s v="XXXX-XXXX-XXXX-1010"/>
    <s v="vikram.mehta@hotmail.com"/>
    <n v="345285090"/>
    <s v="No"/>
    <s v="Chargeback Requested"/>
    <d v="2021-03-12T00:00:00"/>
  </r>
  <r>
    <s v="TX101737"/>
    <d v="2023-06-10T00:00:00"/>
    <s v="AC9816"/>
    <x v="260"/>
    <x v="0"/>
    <n v="9.19"/>
    <s v="AED"/>
    <n v="19.2073"/>
    <n v="-1143071.25"/>
    <s v="AutoZone"/>
    <n v="7720097166"/>
    <s v="autozone@biz.com"/>
    <s v="Utilities"/>
    <s v="Electricity"/>
    <s v="Canada"/>
    <x v="0"/>
    <n v="137306"/>
    <s v="XXXX-XXXX-6340"/>
    <s v="maya.das@example.com"/>
    <n v="385267070"/>
    <s v="No"/>
    <s v="Monthly Subscription"/>
    <d v="2016-07-06T00:00:00"/>
  </r>
  <r>
    <s v="TX102980"/>
    <d v="2024-12-09T00:00:00"/>
    <s v="AC6460"/>
    <x v="221"/>
    <x v="1"/>
    <n v="45.46"/>
    <s v="AED"/>
    <n v="20.889199999999999"/>
    <n v="-1641861.18"/>
    <s v="Walmart"/>
    <n v="6980668773"/>
    <s v="walmart@biz.com"/>
    <s v="Utilities"/>
    <s v="Water"/>
    <s v="UAE"/>
    <x v="2"/>
    <n v="961998"/>
    <s v="XXXX-XXXX-XXXX-8584"/>
    <s v="karan.mehta@yahoo.com"/>
    <n v="-3284319117"/>
    <s v="No"/>
    <s v="Repeat Purchase"/>
    <d v="1905-07-10T00:00:00"/>
  </r>
  <r>
    <s v="TX105755"/>
    <d v="2025-05-05T00:00:00"/>
    <s v="AC6973"/>
    <x v="265"/>
    <x v="2"/>
    <n v="9.48"/>
    <s v="inr"/>
    <n v="1"/>
    <n v="-2902143.07"/>
    <s v="Amazon"/>
    <n v="5294626380"/>
    <s v="amazon@biz.com"/>
    <s v="Groceries"/>
    <s v="Specialty"/>
    <s v="USA"/>
    <x v="6"/>
    <n v="137"/>
    <s v="XXXX-XXXX-XXXX-7433"/>
    <s v="asha.nair@gmail.com"/>
    <n v="6475950395"/>
    <s v="No"/>
    <s v="Monthly Subscription"/>
    <d v="2024-07-10T00:00:00"/>
  </r>
  <r>
    <s v="TX103607"/>
    <d v="2025-02-07T00:00:00"/>
    <s v="AC7452"/>
    <x v="109"/>
    <x v="0"/>
    <n v="121.31"/>
    <s v="inr"/>
    <n v="1"/>
    <n v="-1931917.64"/>
    <s v="Paytm Mall"/>
    <n v="5606700910"/>
    <s v="paytmmall@biz.com"/>
    <s v="Groceries"/>
    <s v="Supermarket"/>
    <s v="Canada"/>
    <x v="7"/>
    <n v="129033"/>
    <m/>
    <s v="uma.das@gmail.com"/>
    <n v="4263364519"/>
    <s v="No"/>
    <s v="Cashback Credited"/>
    <d v="2022-07-01T00:00:00"/>
  </r>
  <r>
    <s v="TX105721"/>
    <d v="2024-07-06T00:00:00"/>
    <s v="AC4543"/>
    <x v="50"/>
    <x v="0"/>
    <n v="261.54000000000002"/>
    <s v="GBP"/>
    <n v="93.837500000000006"/>
    <n v="-2901601.04"/>
    <s v="Walmart"/>
    <n v="-3145028308"/>
    <s v="walmart@biz.com"/>
    <s v="Utilities"/>
    <s v="Internet"/>
    <s v="India"/>
    <x v="3"/>
    <n v="890193"/>
    <s v="XXXX-XXXX-8670"/>
    <s v="priya.patel@example.com"/>
    <n v="8370182336"/>
    <s v="No"/>
    <s v="Monthly Subscription"/>
    <d v="2016-01-29T00:00:00"/>
  </r>
  <r>
    <s v="TX100781"/>
    <d v="2025-10-01T00:00:00"/>
    <s v="AC6069"/>
    <x v="34"/>
    <x v="0"/>
    <n v="6.67"/>
    <s v="USD"/>
    <n v="77.876400000000004"/>
    <n v="-446849.19"/>
    <s v="Zomato"/>
    <n v="7903344841"/>
    <s v="zomato@biz.com"/>
    <s v="Automotive"/>
    <s v="Repair"/>
    <s v="India"/>
    <x v="1"/>
    <n v="311403"/>
    <s v="XXXX-XXXX-XXXX-6339"/>
    <m/>
    <n v="823723599"/>
    <s v="No"/>
    <s v="Manual Adjustment"/>
    <d v="2018-03-17T00:00:00"/>
  </r>
  <r>
    <s v="TX100583"/>
    <d v="2025-08-06T00:00:00"/>
    <s v="AC9985"/>
    <x v="85"/>
    <x v="0"/>
    <n v="505.14"/>
    <s v="USD"/>
    <n v="77.019599999999997"/>
    <n v="-279931.48"/>
    <s v="Paytm Mall"/>
    <n v="8104134474"/>
    <s v="paytmmall@biz.com"/>
    <s v="Dining"/>
    <s v="Restaurant"/>
    <s v="Australia"/>
    <x v="7"/>
    <n v="951126"/>
    <s v="XXXX-XXXX-2798"/>
    <s v="suresh.mehta@hotmail.com"/>
    <n v="-3067013124"/>
    <s v="No"/>
    <s v="Promo Applied"/>
    <d v="2020-06-01T00:00:00"/>
  </r>
  <r>
    <s v="TX105797"/>
    <d v="2025-12-06T00:00:00"/>
    <s v="AC1487"/>
    <x v="79"/>
    <x v="2"/>
    <n v="24.29"/>
    <s v="USD"/>
    <n v="73.107600000000005"/>
    <n v="-2903926.49"/>
    <s v="LocalMart"/>
    <n v="-715796621"/>
    <s v="localmart@biz.com"/>
    <s v="Education"/>
    <s v="Course"/>
    <s v="India"/>
    <x v="0"/>
    <n v="682904"/>
    <s v="XXXX-XXXX-8620"/>
    <s v="lina.patel@example.com"/>
    <n v="-794093139"/>
    <s v="No"/>
    <s v="Chargeback Requested"/>
    <d v="2019-01-01T00:00:00"/>
  </r>
  <r>
    <s v="TX103012"/>
    <d v="2024-10-07T00:00:00"/>
    <s v="AC8867"/>
    <x v="266"/>
    <x v="0"/>
    <n v="7.07"/>
    <s v="USD"/>
    <n v="72.237899999999996"/>
    <n v="-1642411.74"/>
    <s v="LocalMart"/>
    <n v="-1357783218"/>
    <s v="localmart@biz.com"/>
    <s v="Groceries"/>
    <s v="Specialty"/>
    <s v="Canada"/>
    <x v="8"/>
    <n v="694962"/>
    <s v="XXXX-XXXX-1031"/>
    <s v="priya.kumar@gmail.com"/>
    <n v="6974101950"/>
    <s v="No"/>
    <s v="Chargeback Requested"/>
    <d v="2022-04-12T00:00:00"/>
  </r>
  <r>
    <s v="TX104666"/>
    <d v="2024-08-07T00:00:00"/>
    <s v="AC7557"/>
    <x v="87"/>
    <x v="0"/>
    <n v="15.33"/>
    <s v="USD"/>
    <n v="80.382800000000003"/>
    <n v="-2467766.08"/>
    <s v="Zomato"/>
    <n v="2827194502"/>
    <s v="zomato@biz.com"/>
    <s v="Clothing"/>
    <s v="Men"/>
    <s v="UK"/>
    <x v="1"/>
    <n v="924511"/>
    <s v="XXXX-XXXX-XXXX-9373"/>
    <s v="anita.gupta@gmail.com"/>
    <n v="3350479112"/>
    <s v="No"/>
    <s v="Repeat Purchase"/>
    <d v="2023-02-09T00:00:00"/>
  </r>
  <r>
    <s v="TX101049"/>
    <d v="2025-04-02T00:00:00"/>
    <s v="AC6527"/>
    <x v="257"/>
    <x v="0"/>
    <n v="173.49"/>
    <s v="AED"/>
    <n v="21.456900000000001"/>
    <n v="-542657.94999999995"/>
    <s v="Paytm Mall"/>
    <n v="89466244"/>
    <s v="paytmmall@biz.com"/>
    <s v="Health"/>
    <s v="Pharmacy"/>
    <s v="USA"/>
    <x v="10"/>
    <n v="481838"/>
    <s v="XXXX-XXXX-3507"/>
    <s v="sana.singh@yahoo.com"/>
    <n v="-615613341"/>
    <s v="No"/>
    <s v="Repeat Purchase"/>
    <d v="2022-06-01T00:00:00"/>
  </r>
  <r>
    <s v="TX102256"/>
    <d v="2025-07-02T00:00:00"/>
    <s v="AC5836"/>
    <x v="22"/>
    <x v="1"/>
    <n v="95.99"/>
    <s v="AED "/>
    <n v="20.5517"/>
    <n v="-1270656.22"/>
    <s v="Zomato"/>
    <n v="2600424672"/>
    <s v="zomato@biz.com"/>
    <s v="Groceries"/>
    <s v="Specialty"/>
    <s v="Australia"/>
    <x v="8"/>
    <n v="346275"/>
    <s v="XXXX-XXXX-1826"/>
    <s v="anita.iyer@gmail.com"/>
    <n v="9793906545"/>
    <s v="No"/>
    <s v="Monthly Subscription"/>
    <d v="1905-07-13T00:00:00"/>
  </r>
  <r>
    <s v="TX101501"/>
    <d v="2024-05-04T00:00:00"/>
    <s v="AC9135"/>
    <x v="1"/>
    <x v="1"/>
    <n v="17.09"/>
    <s v="USD"/>
    <n v="76.086100000000002"/>
    <n v="-987295.46"/>
    <s v="Swiggy"/>
    <n v="8638476492"/>
    <s v="swiggy@biz.com"/>
    <s v="Electronics"/>
    <s v="Mobile"/>
    <s v="Australia"/>
    <x v="6"/>
    <n v="534596"/>
    <s v="XXXX-XXXX-3967"/>
    <s v="asha.das@hotmail.com"/>
    <n v="1630992421"/>
    <s v="No"/>
    <s v="Chargeback Requested"/>
    <d v="1905-07-14T00:00:00"/>
  </r>
  <r>
    <s v="TX101053"/>
    <d v="2024-07-10T00:00:00"/>
    <s v="AC9668"/>
    <x v="50"/>
    <x v="1"/>
    <n v="45.28"/>
    <s v="USD"/>
    <n v="78.813900000000004"/>
    <n v="-542744.98"/>
    <s v="ElectroWorld"/>
    <n v="8661848634"/>
    <s v="electroworld@biz.com"/>
    <s v="Electronics"/>
    <s v="Laptop"/>
    <s v="India"/>
    <x v="6"/>
    <n v="664605"/>
    <s v="XXXX-XXXX-1094"/>
    <s v="priya.patel@yahoo.com"/>
    <n v="7262321953"/>
    <s v="No"/>
    <s v="Promo Applied"/>
    <d v="1905-07-16T00:00:00"/>
  </r>
  <r>
    <s v="TX100335"/>
    <d v="2024-06-12T00:00:00"/>
    <s v="AC7611"/>
    <x v="131"/>
    <x v="0"/>
    <n v="27.76"/>
    <s v="USD"/>
    <n v="72.739599999999996"/>
    <n v="-175976.1"/>
    <s v="Myntra"/>
    <n v="8345440986"/>
    <s v="myntra@biz.com"/>
    <s v="Groceries"/>
    <s v="Specialty"/>
    <s v="India"/>
    <x v="0"/>
    <n v="442871"/>
    <n v="4094730000000000"/>
    <s v="karan.roy@gmail.com"/>
    <n v="6989162334"/>
    <s v="No"/>
    <s v="Chargeback Requested"/>
    <d v="2018-07-10T00:00:00"/>
  </r>
  <r>
    <s v="TX103662"/>
    <d v="2023-07-12T00:00:00"/>
    <s v="AC3553"/>
    <x v="129"/>
    <x v="0"/>
    <n v="-51.83"/>
    <s v="GBP"/>
    <n v="96.074399999999997"/>
    <n v="-1935739.59"/>
    <s v="Walmart"/>
    <n v="959023057"/>
    <s v="walmart@biz.com"/>
    <s v="Dining"/>
    <s v="FastFood"/>
    <s v="India"/>
    <x v="0"/>
    <n v="178544"/>
    <s v="XXXX-XXXX-5436"/>
    <s v="suresh.kumar@gmail.com"/>
    <n v="-5432164380"/>
    <s v="No"/>
    <s v="Promo Applied"/>
    <d v="2018-02-01T00:00:00"/>
  </r>
  <r>
    <s v="TX100088"/>
    <d v="2025-12-03T00:00:00"/>
    <s v="AC6089"/>
    <x v="267"/>
    <x v="1"/>
    <n v="17.54"/>
    <s v="USD"/>
    <n v="77.693899999999999"/>
    <n v="-144849.69"/>
    <s v="Paytm Mall"/>
    <n v="6701062727"/>
    <s v="paytmmall@biz.com"/>
    <s v="Groceries"/>
    <s v="Specialty"/>
    <s v="India"/>
    <x v="2"/>
    <n v="411798"/>
    <s v="XXXX-XXXX-XXXX-9096"/>
    <s v="rahul.sharma@gmail.com"/>
    <n v="7276317370"/>
    <s v="No"/>
    <s v="Cashback Credited"/>
    <d v="2021-09-17T00:00:00"/>
  </r>
  <r>
    <s v="TX100874"/>
    <d v="2024-11-02T00:00:00"/>
    <s v="AC8066"/>
    <x v="235"/>
    <x v="0"/>
    <n v="31.82"/>
    <s v="USD"/>
    <n v="73.734300000000005"/>
    <n v="-490140.44"/>
    <s v="BigBasket"/>
    <n v="1504518410"/>
    <s v="bigbasket@biz.com"/>
    <s v="Automotive"/>
    <s v="Repair"/>
    <s v="UAE"/>
    <x v="1"/>
    <n v="430168"/>
    <s v="XXXX-XXXX-XXXX-9096"/>
    <s v="anita.mehta@hotmail.com"/>
    <n v="955571413"/>
    <s v="No"/>
    <s v="Promo Applied"/>
    <d v="2022-12-01T00:00:00"/>
  </r>
  <r>
    <s v="TX103761"/>
    <d v="2024-01-08T00:00:00"/>
    <s v="AC2202"/>
    <x v="268"/>
    <x v="1"/>
    <n v="32.68"/>
    <s v="USD"/>
    <n v="78.238799999999998"/>
    <n v="-2112421"/>
    <s v="AutoZone"/>
    <n v="1550397792"/>
    <s v="autozone@biz.com"/>
    <s v="Clothing"/>
    <s v="Men"/>
    <s v="UK"/>
    <x v="8"/>
    <n v="752318"/>
    <s v="XXXX-XXXX-9695"/>
    <s v="isha.sharma@yahoo.com"/>
    <n v="9362048476"/>
    <s v="No"/>
    <s v="Monthly Subscription"/>
    <d v="2018-04-01T00:00:00"/>
  </r>
  <r>
    <s v="TX104730"/>
    <d v="2025-05-02T00:00:00"/>
    <s v="AC3167"/>
    <x v="266"/>
    <x v="0"/>
    <n v="7.95"/>
    <s v="USD"/>
    <n v="79.808800000000005"/>
    <n v="-2514337.13"/>
    <s v="BigBasket"/>
    <n v="9703717748"/>
    <s v="bigbasket@biz.com"/>
    <s v="Education"/>
    <s v="Course"/>
    <s v="UAE"/>
    <x v="5"/>
    <n v="611743"/>
    <s v="XXXX-XXXX-1434"/>
    <s v="priya.kumar@gmail.com"/>
    <n v="9842694092"/>
    <s v="No"/>
    <s v="Suspected Fraud"/>
    <d v="2019-07-01T00:00:00"/>
  </r>
  <r>
    <s v="TX105155"/>
    <d v="2024-08-04T00:00:00"/>
    <s v="AC2748"/>
    <x v="269"/>
    <x v="1"/>
    <n v="32.69"/>
    <s v="inr"/>
    <n v="1"/>
    <n v="-2678675.98"/>
    <s v="Reliance"/>
    <n v="8643480890"/>
    <s v="reliance@biz.com"/>
    <s v="Clothing"/>
    <s v="Men"/>
    <s v="UAE"/>
    <x v="1"/>
    <n v="281445"/>
    <s v="XXXX-XXXX-2556"/>
    <s v="rahul.kumar@example.com"/>
    <n v="9420674178"/>
    <s v="No"/>
    <s v="Suspected Fraud"/>
    <d v="1905-07-10T00:00:00"/>
  </r>
  <r>
    <s v="TX105769"/>
    <d v="2025-10-09T00:00:00"/>
    <s v="AC5339"/>
    <x v="9"/>
    <x v="0"/>
    <n v="4.72"/>
    <s v="USD"/>
    <n v="77.4542"/>
    <n v="-2902379.68"/>
    <s v="ShopEasy"/>
    <n v="-4307967863"/>
    <s v="shopeasy@biz.com"/>
    <s v="Electronics"/>
    <s v="Accessory"/>
    <s v="India"/>
    <x v="8"/>
    <n v="508589"/>
    <s v="XXXX-XXXX-8312"/>
    <s v="vikram.khan@yahoo.com"/>
    <n v="9518947561"/>
    <s v="No"/>
    <s v="Monthly Subscription"/>
    <d v="2016-01-01T00:00:00"/>
  </r>
  <r>
    <s v="TX102064"/>
    <d v="2024-04-03T00:00:00"/>
    <s v="AC2946"/>
    <x v="119"/>
    <x v="0"/>
    <n v="45.53"/>
    <s v="USD"/>
    <n v="76.002899999999997"/>
    <n v="-1199188.92"/>
    <s v="Amazon"/>
    <n v="2495909869"/>
    <s v="amazon@biz.com"/>
    <s v="Clothing"/>
    <s v="Women"/>
    <s v="India"/>
    <x v="6"/>
    <n v="754567"/>
    <s v="XXXX-XXXX-1218"/>
    <s v="neha.bose@yahoo.com"/>
    <n v="-4564561476"/>
    <s v="No"/>
    <s v="Promo Applied"/>
    <d v="1905-07-17T00:00:00"/>
  </r>
  <r>
    <s v="TX104793"/>
    <d v="2025-05-06T00:00:00"/>
    <s v="AC9532"/>
    <x v="1"/>
    <x v="1"/>
    <n v="45.47"/>
    <s v="inr"/>
    <n v="1"/>
    <n v="-2538922.9"/>
    <s v="Zomato"/>
    <n v="1692367240"/>
    <s v="zomato@biz.com"/>
    <s v="Automotive"/>
    <s v="Repair"/>
    <s v="USA"/>
    <x v="6"/>
    <n v="221226"/>
    <s v="XXXX-XXXX-7971"/>
    <s v="asha.das@yahoo.com"/>
    <n v="6838675071"/>
    <s v="No"/>
    <s v="Repeat Purchase"/>
    <d v="1905-07-10T00:00:00"/>
  </r>
  <r>
    <s v="TX101266"/>
    <d v="2025-07-05T00:00:00"/>
    <s v="AC4564"/>
    <x v="270"/>
    <x v="0"/>
    <n v="28.98"/>
    <s v="USD"/>
    <n v="73.485399999999998"/>
    <n v="-595544.81000000006"/>
    <s v="ElectroWorld"/>
    <n v="957610653"/>
    <s v="electroworld@biz.com"/>
    <s v="Entertainment"/>
    <s v="Concert"/>
    <s v="UK"/>
    <x v="3"/>
    <n v="761595"/>
    <s v="XXXX-XXXX-4813"/>
    <s v="karan.gupta@gmail.com"/>
    <n v="3887316776"/>
    <s v="No"/>
    <s v="Suspected Fraud"/>
    <d v="2023-02-05T00:00:00"/>
  </r>
  <r>
    <s v="TX100303"/>
    <d v="2024-09-08T00:00:00"/>
    <s v="AC1548"/>
    <x v="195"/>
    <x v="0"/>
    <n v="68.89"/>
    <s v="GBP "/>
    <n v="108.8107"/>
    <n v="-175081.74"/>
    <s v="Flipkart"/>
    <n v="-5766566018"/>
    <s v="flipkart@biz.com"/>
    <s v="Education"/>
    <s v="Course"/>
    <s v="Australia"/>
    <x v="1"/>
    <n v="204792"/>
    <s v="XXXX-XXXX-5441"/>
    <s v="arjun.reddy@example.com"/>
    <n v="703723998"/>
    <s v="No"/>
    <s v="Monthly Subscription"/>
    <d v="2016-01-01T00:00:00"/>
  </r>
  <r>
    <s v="TX105113"/>
    <d v="2024-03-01T00:00:00"/>
    <s v="AC2492"/>
    <x v="137"/>
    <x v="1"/>
    <n v="6.14"/>
    <s v="inr"/>
    <n v="1"/>
    <n v="-2669884.19"/>
    <s v="Walmart"/>
    <n v="6538937432"/>
    <s v="walmart@biz.com"/>
    <s v="Automotive"/>
    <s v="Fuel"/>
    <s v="UK"/>
    <x v="4"/>
    <n v="840859"/>
    <s v="XXXX-XXXX-6938"/>
    <s v="isha.iyer@gmail.com"/>
    <n v="-8794271721"/>
    <s v="No"/>
    <s v="Chargeback Requested"/>
    <d v="1905-07-14T00:00:00"/>
  </r>
  <r>
    <s v="TX105915"/>
    <d v="2023-08-12T00:00:00"/>
    <s v="AC4232"/>
    <x v="55"/>
    <x v="0"/>
    <n v="11.33"/>
    <s v="inr"/>
    <n v="1"/>
    <n v="-2933438.06"/>
    <s v="BigBasket"/>
    <n v="4964128750"/>
    <s v="bigbasket@biz.com"/>
    <s v="Utilities"/>
    <s v="Internet"/>
    <s v="Australia"/>
    <x v="4"/>
    <n v="306720"/>
    <s v="XXXX-XXXX-1805"/>
    <s v="amit.mehta@example.com"/>
    <n v="-8875832038"/>
    <s v="No"/>
    <s v="Manual Adjustment"/>
    <d v="2015-11-05T00:00:00"/>
  </r>
  <r>
    <s v="TX101904"/>
    <d v="2025-08-08T00:00:00"/>
    <s v="AC1386"/>
    <x v="101"/>
    <x v="0"/>
    <n v="29.11"/>
    <s v="GBP"/>
    <n v="90.764099999999999"/>
    <n v="-1163168.28"/>
    <s v="ShopEasy"/>
    <n v="2030620025"/>
    <s v="shopeasy@biz.com"/>
    <s v="Groceries"/>
    <s v="Supermarket"/>
    <s v="Australia"/>
    <x v="1"/>
    <n v="444827"/>
    <s v="XXXX-XXXX-6281"/>
    <s v="isha.bose@hotmail.com"/>
    <n v="2656603075"/>
    <s v="No"/>
    <s v="Chargeback Requested"/>
    <d v="2018-12-30T00:00:00"/>
  </r>
  <r>
    <s v="TX105584"/>
    <d v="2025-11-04T00:00:00"/>
    <s v="AC3693"/>
    <x v="70"/>
    <x v="1"/>
    <n v="134.43"/>
    <s v="inr"/>
    <n v="1"/>
    <n v="-2868672.38"/>
    <s v="LocalMart"/>
    <n v="9060435208"/>
    <s v="localmart@biz.com"/>
    <s v="Utilities"/>
    <s v="Electricity"/>
    <s v="UAE"/>
    <x v="1"/>
    <n v="472833"/>
    <s v="XXXX-XXXX-2153"/>
    <s v="amit.das@gmail.com"/>
    <n v="-1277395881"/>
    <s v="No"/>
    <s v="Manual Adjustment"/>
    <d v="1905-07-11T00:00:00"/>
  </r>
  <r>
    <s v="TX101201"/>
    <d v="2023-09-12T00:00:00"/>
    <s v="AC4751"/>
    <x v="206"/>
    <x v="2"/>
    <n v="19.78"/>
    <s v="inr"/>
    <n v="1"/>
    <n v="-593488.55000000005"/>
    <s v="Paytm Mall"/>
    <n v="-6798814352"/>
    <s v="paytmmall@biz.com"/>
    <s v="Education"/>
    <s v="Books"/>
    <s v="USA"/>
    <x v="5"/>
    <n v="104078"/>
    <s v="XXXX-XXXX-XXXX-9309"/>
    <s v="ritu.chopra@yahoo.com"/>
    <n v="-3981654907"/>
    <s v="No"/>
    <s v="Promo Applied"/>
    <d v="1905-07-18T00:00:00"/>
  </r>
  <r>
    <s v="TX102362"/>
    <d v="2024-02-09T00:00:00"/>
    <s v="AC8677"/>
    <x v="261"/>
    <x v="2"/>
    <n v="5.33"/>
    <s v="USD"/>
    <n v="82.200999999999993"/>
    <n v="-1284490.22"/>
    <s v="AutoZone"/>
    <n v="2223066095"/>
    <s v="autozone@biz.com"/>
    <s v="Dining"/>
    <s v="FastFood"/>
    <s v="Canada"/>
    <x v="10"/>
    <n v="228460"/>
    <s v="XXXX-XXXX-XXXX-3462"/>
    <s v="sana.mehta@hotmail.com"/>
    <n v="6318622459"/>
    <s v="No"/>
    <s v="Monthly Subscription"/>
    <d v="1905-07-17T00:00:00"/>
  </r>
  <r>
    <s v="TX102591"/>
    <d v="2024-10-04T00:00:00"/>
    <s v="AC3291"/>
    <x v="219"/>
    <x v="1"/>
    <n v="19.13"/>
    <s v="inr"/>
    <n v="1"/>
    <n v="-1559080.13"/>
    <s v="Amazon"/>
    <n v="8093975853"/>
    <s v="amazon@biz.com"/>
    <s v="Entertainment"/>
    <s v="Streaming"/>
    <s v="UAE"/>
    <x v="0"/>
    <n v="852"/>
    <s v="XXXX-XXXX-1169"/>
    <s v="karan.singh@yahoo.com"/>
    <n v="4333416025"/>
    <s v="No"/>
    <s v="Repeat Purchase"/>
    <d v="2020-07-30T00:00:00"/>
  </r>
  <r>
    <s v="TX101446"/>
    <d v="2024-08-10T00:00:00"/>
    <s v="AC7990"/>
    <x v="16"/>
    <x v="1"/>
    <n v="17.559999999999999"/>
    <s v="GBP"/>
    <n v="93.221999999999994"/>
    <n v="-976491.22"/>
    <s v="ShopEasy"/>
    <n v="8193270386"/>
    <s v="shopeasy@biz.com"/>
    <s v="Electronics"/>
    <s v="Mobile"/>
    <s v="UK"/>
    <x v="6"/>
    <n v="918020"/>
    <s v="XXXX-XXXX-2086"/>
    <s v="uma.kumar@yahoo.com"/>
    <n v="9431327288"/>
    <s v="No"/>
    <s v="Monthly Subscription"/>
    <d v="1905-07-07T00:00:00"/>
  </r>
  <r>
    <s v="TX101563"/>
    <d v="2025-07-01T00:00:00"/>
    <s v="AC8345"/>
    <x v="182"/>
    <x v="0"/>
    <n v="95.67"/>
    <s v="AED"/>
    <n v="21.851500000000001"/>
    <n v="-1001138.36"/>
    <s v="Flipkart"/>
    <n v="4773924356"/>
    <s v="flipkart@biz.com"/>
    <s v="Entertainment"/>
    <s v="Movies"/>
    <s v="UK"/>
    <x v="5"/>
    <n v="340784"/>
    <n v="4314040000000000"/>
    <s v="vikram.singh@hotmail.com"/>
    <n v="7903099010"/>
    <s v="No"/>
    <s v="Repeat Purchase"/>
    <d v="1905-07-16T00:00:00"/>
  </r>
  <r>
    <s v="TX105811"/>
    <d v="2024-09-02T00:00:00"/>
    <s v="AC9753"/>
    <x v="250"/>
    <x v="0"/>
    <n v="186.85"/>
    <s v="USD"/>
    <n v="75.700100000000006"/>
    <n v="-2903983.53"/>
    <s v="Paytm Mall"/>
    <n v="9765713302"/>
    <s v="paytmmall@biz.com"/>
    <s v="Education"/>
    <s v="Books"/>
    <s v="UK"/>
    <x v="6"/>
    <n v="747547"/>
    <s v="XXXX-XXXX-XXXX-7663"/>
    <s v="suresh.roy@hotmail.com"/>
    <n v="9787200931"/>
    <s v="No"/>
    <s v="Manual Adjustment"/>
    <d v="2020-07-01T00:00:00"/>
  </r>
  <r>
    <s v="TX105504"/>
    <d v="2025-01-09T00:00:00"/>
    <s v="AC1543"/>
    <x v="271"/>
    <x v="0"/>
    <n v="18.53"/>
    <s v="AED"/>
    <n v="20.9069"/>
    <n v="-2826452.01"/>
    <s v="Paytm Mall"/>
    <n v="6329646382"/>
    <s v="paytmmall@biz.com"/>
    <s v="Health"/>
    <s v="Pharmacy"/>
    <s v="USA"/>
    <x v="5"/>
    <n v="352353"/>
    <n v="4685800000000000"/>
    <s v="amit.bose@example.com"/>
    <n v="-2811189793"/>
    <s v="No"/>
    <s v="Chargeback Requested"/>
    <d v="2019-08-01T00:00:00"/>
  </r>
  <r>
    <s v="TX102611"/>
    <d v="2024-10-04T00:00:00"/>
    <s v="AC5133"/>
    <x v="107"/>
    <x v="0"/>
    <n v="8.4600000000000009"/>
    <s v="USD"/>
    <n v="82.984800000000007"/>
    <n v="-1559512.95"/>
    <s v="Walmart"/>
    <n v="-1529509870"/>
    <s v="walmart@biz.com"/>
    <s v="Dining"/>
    <s v="Cafe"/>
    <s v="USA"/>
    <x v="8"/>
    <n v="698925"/>
    <s v="XXXX-XXXX-7608"/>
    <s v="isha.joshi@yahoo.com"/>
    <n v="8892692036"/>
    <s v="No"/>
    <s v="Promo Applied"/>
    <d v="2023-09-11T00:00:00"/>
  </r>
  <r>
    <s v="TX102724"/>
    <d v="2025-08-04T00:00:00"/>
    <s v="AC9223"/>
    <x v="18"/>
    <x v="1"/>
    <n v="349.01"/>
    <s v="GBP"/>
    <n v="104.7129"/>
    <n v="-1604206.37"/>
    <s v="Starbucks"/>
    <n v="4451939954"/>
    <s v="starbucks@biz.com"/>
    <s v="Utilities"/>
    <s v="Water"/>
    <s v="UAE"/>
    <x v="8"/>
    <n v="335672"/>
    <s v="XXXX-XXXX-XXXX-7926"/>
    <s v="raj.patel@hotmail.com"/>
    <n v="-7262098527"/>
    <s v="No"/>
    <s v="Manual Adjustment"/>
    <d v="2022-11-04T00:00:00"/>
  </r>
  <r>
    <s v="TX101735"/>
    <d v="2023-10-10T00:00:00"/>
    <s v="AC1391"/>
    <x v="109"/>
    <x v="2"/>
    <n v="4.76"/>
    <s v="INR "/>
    <n v="1"/>
    <n v="-1143061.98"/>
    <s v="Starbucks"/>
    <n v="4311350117"/>
    <s v="starbucks@biz.com"/>
    <s v="Entertainment"/>
    <s v="Streaming"/>
    <s v="UAE"/>
    <x v="0"/>
    <n v="119863"/>
    <m/>
    <s v="uma.das@example.com"/>
    <n v="4453234873"/>
    <s v="No"/>
    <s v="Chargeback Requested"/>
    <d v="2015-09-08T00:00:00"/>
  </r>
  <r>
    <s v="TX103124"/>
    <d v="2025-04-06T00:00:00"/>
    <s v="AC5445"/>
    <x v="0"/>
    <x v="0"/>
    <n v="28.01"/>
    <s v="AED"/>
    <n v="21.080400000000001"/>
    <n v="-1676320.34"/>
    <s v="Starbucks"/>
    <n v="1401474042"/>
    <s v="starbucks@biz.com"/>
    <s v="Entertainment"/>
    <s v="Streaming"/>
    <s v="Canada"/>
    <x v="6"/>
    <n v="191754"/>
    <s v="XXXX-XXXX-XXXX-1796"/>
    <s v="dev.kumar@example.com"/>
    <n v="6702091663"/>
    <s v="No"/>
    <s v="Cashback Credited"/>
    <d v="2021-01-29T00:00:00"/>
  </r>
  <r>
    <s v="TX104940"/>
    <d v="2023-02-11T00:00:00"/>
    <s v="AC8408"/>
    <x v="272"/>
    <x v="0"/>
    <n v="67"/>
    <s v="inr"/>
    <n v="1"/>
    <n v="-2592612.62"/>
    <s v="ShopEasy"/>
    <n v="1884798052"/>
    <s v="shopeasy@biz.com"/>
    <s v="Groceries"/>
    <s v="Specialty"/>
    <s v="UAE"/>
    <x v="8"/>
    <n v="165292"/>
    <n v="4375960000000000"/>
    <s v="anita.bose@yahoo.com"/>
    <n v="7446915486"/>
    <s v="No"/>
    <s v="Cashback Credited"/>
    <d v="2021-07-28T00:00:00"/>
  </r>
  <r>
    <s v="TX101026"/>
    <d v="2024-09-06T00:00:00"/>
    <s v="AC1255"/>
    <x v="88"/>
    <x v="2"/>
    <n v="34.659999999999997"/>
    <s v="AED"/>
    <n v="19.907"/>
    <n v="-541822.22"/>
    <s v="Myntra"/>
    <n v="5438285941"/>
    <s v="myntra@biz.com"/>
    <s v="Automotive"/>
    <s v="Repair"/>
    <s v="UAE"/>
    <x v="1"/>
    <n v="276746"/>
    <s v="XXXX-XXXX-7874"/>
    <s v="sana.das@example.com"/>
    <n v="663736169"/>
    <s v="No"/>
    <s v="Manual Adjustment"/>
    <d v="2018-02-01T00:00:00"/>
  </r>
  <r>
    <s v="TX103163"/>
    <d v="2025-03-04T00:00:00"/>
    <s v="AC1325"/>
    <x v="206"/>
    <x v="0"/>
    <n v="14.39"/>
    <s v="USD"/>
    <n v="75.374700000000004"/>
    <n v="-1705934.41"/>
    <s v="Reliance"/>
    <n v="8512429740"/>
    <s v="reliance@biz.com"/>
    <s v="Electronics"/>
    <s v="Laptop"/>
    <s v="UAE"/>
    <x v="1"/>
    <n v="716292"/>
    <s v="XXXX-XXXX-5547"/>
    <s v="ritu.chopra@gmail.com"/>
    <n v="7096472957"/>
    <s v="No"/>
    <s v="Promo Applied"/>
    <d v="1905-07-13T00:00:00"/>
  </r>
  <r>
    <s v="TX103072"/>
    <d v="2023-06-12T00:00:00"/>
    <s v="AC4208"/>
    <x v="126"/>
    <x v="1"/>
    <n v="42.22"/>
    <s v="GBP"/>
    <n v="106.3974"/>
    <n v="-1653243.31"/>
    <s v="Swiggy"/>
    <n v="-4009770519"/>
    <s v="swiggy@biz.com"/>
    <s v="Health"/>
    <s v="Pharmacy"/>
    <s v="Australia"/>
    <x v="1"/>
    <n v="186112"/>
    <s v="XXXX-XXXX-9699"/>
    <s v="dev.joshi@yahoo.com"/>
    <n v="3436276100"/>
    <s v="No"/>
    <s v="Monthly Subscription"/>
    <d v="1905-07-11T00:00:00"/>
  </r>
  <r>
    <s v="TX101540"/>
    <d v="2024-11-01T00:00:00"/>
    <s v="AC7769"/>
    <x v="48"/>
    <x v="0"/>
    <n v="32.04"/>
    <s v="AED"/>
    <n v="21.232600000000001"/>
    <n v="-1000629.67"/>
    <s v="ElectroWorld"/>
    <n v="4770249820"/>
    <s v="electroworld@biz.com"/>
    <s v="Automotive"/>
    <s v="Fuel"/>
    <s v="Australia"/>
    <x v="0"/>
    <n v="329"/>
    <s v="XXXX-XXXX-5816"/>
    <s v="neha.roy@example.com"/>
    <n v="-1224673"/>
    <s v="No"/>
    <s v="Manual Adjustment"/>
    <d v="1905-07-15T00:00:00"/>
  </r>
  <r>
    <s v="TX104148"/>
    <d v="2025-04-06T00:00:00"/>
    <s v="AC4659"/>
    <x v="139"/>
    <x v="1"/>
    <n v="17.850000000000001"/>
    <s v="AED"/>
    <n v="18.008600000000001"/>
    <n v="-2236638.63"/>
    <s v="Flipkart"/>
    <n v="1517062965"/>
    <s v="flipkart@biz.com"/>
    <s v="Dining"/>
    <s v="FastFood"/>
    <s v="UK"/>
    <x v="2"/>
    <n v="102668"/>
    <m/>
    <s v="uma.patel@example.com"/>
    <n v="66558383"/>
    <s v="No"/>
    <s v="Monthly Subscription"/>
    <d v="1905-07-12T00:00:00"/>
  </r>
  <r>
    <s v="TX102649"/>
    <d v="2025-12-06T00:00:00"/>
    <s v="AC8941"/>
    <x v="26"/>
    <x v="1"/>
    <n v="-97.78"/>
    <s v="AED"/>
    <n v="20.392700000000001"/>
    <n v="-1560683.43"/>
    <s v="Paytm Mall"/>
    <n v="4615213663"/>
    <s v="paytmmall@biz.com"/>
    <s v="Groceries"/>
    <s v="Specialty"/>
    <s v="Canada"/>
    <x v="7"/>
    <n v="307475"/>
    <s v="XXXX-XXXX-6382"/>
    <s v="amit.reddy@hotmail.com"/>
    <n v="2159228891"/>
    <s v="No"/>
    <s v="Repeat Purchase"/>
    <d v="2018-03-01T00:00:00"/>
  </r>
  <r>
    <s v="TX101639"/>
    <d v="2023-11-12T00:00:00"/>
    <s v="AC7179"/>
    <x v="235"/>
    <x v="1"/>
    <n v="9.1999999999999993"/>
    <s v="GBP"/>
    <n v="93.929699999999997"/>
    <n v="-1076395.75"/>
    <s v="BigBasket"/>
    <n v="2017598475"/>
    <s v="bigbasket@biz.com"/>
    <s v="Travel"/>
    <s v="Taxi"/>
    <s v="Canada"/>
    <x v="6"/>
    <n v="784337"/>
    <s v="XXXX-XXXX-XXXX-8405"/>
    <s v="anita.mehta@gmail.com"/>
    <n v="326737558"/>
    <s v="No"/>
    <s v="Promo Applied"/>
    <d v="2017-12-22T00:00:00"/>
  </r>
  <r>
    <s v="TX100322"/>
    <d v="2025-06-09T00:00:00"/>
    <s v="AC5324"/>
    <x v="273"/>
    <x v="1"/>
    <n v="12.41"/>
    <s v="inr"/>
    <n v="1"/>
    <n v="-175594.06"/>
    <s v="Walmart"/>
    <n v="9908678437"/>
    <s v="walmart@biz.com"/>
    <s v="Education"/>
    <s v="Books"/>
    <s v="Canada"/>
    <x v="5"/>
    <n v="232768"/>
    <n v="4713800000000000"/>
    <s v="suresh.patel@gmail.com"/>
    <n v="1755159157"/>
    <s v="No"/>
    <s v="Chargeback Requested"/>
    <d v="2018-03-10T00:00:00"/>
  </r>
  <r>
    <s v="TX102977"/>
    <d v="2025-06-01T00:00:00"/>
    <s v="AC1890"/>
    <x v="173"/>
    <x v="0"/>
    <n v="11.99"/>
    <s v="USD"/>
    <n v="81.462699999999998"/>
    <n v="-1641785.62"/>
    <s v="LocalMart"/>
    <n v="3755343360"/>
    <s v="localmart@biz.com"/>
    <s v="Education"/>
    <s v="Course"/>
    <s v="UK"/>
    <x v="6"/>
    <n v="776925"/>
    <s v="XXXX-XXXX-XXXX-1159"/>
    <s v="rohit.nair@gmail.com"/>
    <n v="7698474683"/>
    <s v="No"/>
    <s v="Repeat Purchase"/>
    <d v="1905-07-13T00:00:00"/>
  </r>
  <r>
    <s v="TX102723"/>
    <d v="2024-06-10T00:00:00"/>
    <s v="AC7310"/>
    <x v="266"/>
    <x v="0"/>
    <n v="195.98"/>
    <s v="USD"/>
    <n v="72.216499999999996"/>
    <n v="-1604031.86"/>
    <s v="Starbucks"/>
    <n v="3266473633"/>
    <s v="starbucks@biz.com"/>
    <s v="Groceries"/>
    <s v="Supermarket"/>
    <s v="UK"/>
    <x v="5"/>
    <n v="102970"/>
    <s v="XXXX-XXXX-4450"/>
    <s v="priya.kumar@gmail.com"/>
    <n v="1966594720"/>
    <s v="No"/>
    <s v="Cashback Credited"/>
    <d v="1905-07-16T00:00:00"/>
  </r>
  <r>
    <s v="TX101014"/>
    <d v="2025-06-02T00:00:00"/>
    <s v="AC3778"/>
    <x v="113"/>
    <x v="0"/>
    <n v="265.91000000000003"/>
    <s v="USD"/>
    <n v="81.113799999999998"/>
    <n v="-541342.92000000004"/>
    <s v="Swiggy"/>
    <n v="3379078340"/>
    <s v="swiggy@biz.com"/>
    <s v="Automotive"/>
    <s v="Repair"/>
    <s v="UK"/>
    <x v="3"/>
    <n v="820436"/>
    <s v="XXXX-XXXX-XXXX-1506"/>
    <s v="sana.reddy@example.com"/>
    <n v="1721500184"/>
    <s v="No"/>
    <s v="Manual Adjustment"/>
    <d v="2017-03-01T00:00:00"/>
  </r>
  <r>
    <s v="TX104406"/>
    <d v="2025-12-08T00:00:00"/>
    <s v="AC1483"/>
    <x v="256"/>
    <x v="1"/>
    <n v="28.84"/>
    <s v="inr"/>
    <n v="1"/>
    <n v="-2428584"/>
    <s v="Flipkart"/>
    <n v="512446730"/>
    <s v="flipkart@biz.com"/>
    <s v="Utilities"/>
    <s v="Water"/>
    <s v="UAE"/>
    <x v="4"/>
    <n v="732331"/>
    <s v="XXXX-XXXX-7914"/>
    <s v="asha.sharma@yahoo.com"/>
    <n v="-1974198587"/>
    <s v="No"/>
    <s v="Chargeback Requested"/>
    <d v="1905-07-16T00:00:00"/>
  </r>
  <r>
    <s v="TX105131"/>
    <d v="2024-07-05T00:00:00"/>
    <s v="AC9593"/>
    <x v="269"/>
    <x v="0"/>
    <n v="91.16"/>
    <s v="USD"/>
    <n v="77.3292"/>
    <n v="-2677988.52"/>
    <s v="ElectroWorld"/>
    <n v="6704943880"/>
    <s v="electroworld@biz.com"/>
    <s v="Travel"/>
    <s v="Flight"/>
    <s v="UK"/>
    <x v="5"/>
    <n v="913258"/>
    <s v="XXXX-XXXX-6339"/>
    <s v="rahul.kumar@hotmail.com"/>
    <n v="4581730614"/>
    <s v="No"/>
    <s v="Suspected Fraud"/>
    <d v="1905-07-09T00:00:00"/>
  </r>
  <r>
    <s v="TX103875"/>
    <d v="2025-12-06T00:00:00"/>
    <s v="AC1421"/>
    <x v="5"/>
    <x v="0"/>
    <n v="138.41999999999999"/>
    <s v="USD"/>
    <n v="80.674099999999996"/>
    <n v="-2119545.88"/>
    <s v="ShopEasy"/>
    <n v="9283739796"/>
    <s v="shopeasy@biz.com"/>
    <s v="Dining"/>
    <s v="FastFood"/>
    <s v="UAE"/>
    <x v="0"/>
    <n v="740832"/>
    <s v="XXXX-XXXX-5846"/>
    <s v="dev.iyer@hotmail.com"/>
    <n v="5364933380"/>
    <s v="No"/>
    <s v="Manual Adjustment"/>
    <d v="2022-03-22T00:00:00"/>
  </r>
  <r>
    <s v="TX102274"/>
    <d v="2024-11-03T00:00:00"/>
    <s v="AC5926"/>
    <x v="92"/>
    <x v="0"/>
    <n v="8.98"/>
    <s v="INRr"/>
    <n v="1"/>
    <n v="-1271039.3899999999"/>
    <s v="AutoZone"/>
    <n v="2487841213"/>
    <s v="autozone@biz.com"/>
    <s v="Entertainment"/>
    <s v="Concert"/>
    <s v="UAE"/>
    <x v="7"/>
    <n v="131279"/>
    <s v="XXXX-XXXX-9098"/>
    <s v="ritu.gupta@yahoocom"/>
    <n v="9886179492"/>
    <s v="No"/>
    <s v="Suspected Fraud"/>
    <d v="2016-09-05T00:00:00"/>
  </r>
  <r>
    <s v="TX101103"/>
    <d v="2025-06-05T00:00:00"/>
    <s v="AC8713"/>
    <x v="234"/>
    <x v="1"/>
    <n v="28.01"/>
    <s v="USD"/>
    <n v="76.920699999999997"/>
    <n v="-554969.54"/>
    <s v="Reliance"/>
    <n v="714101497"/>
    <s v="reliance@biz.com"/>
    <s v="Utilities"/>
    <s v="Water"/>
    <s v="USA"/>
    <x v="4"/>
    <n v="676241"/>
    <s v="XXXX-XXXX-XXXX-4095"/>
    <m/>
    <n v="7164080903"/>
    <s v="No"/>
    <s v="Chargeback Requested"/>
    <d v="1905-07-17T00:00:00"/>
  </r>
  <r>
    <s v="TX103007"/>
    <d v="2024-06-06T00:00:00"/>
    <s v="AC5082"/>
    <x v="201"/>
    <x v="0"/>
    <n v="5.17"/>
    <s v="GBP"/>
    <n v="93.978300000000004"/>
    <n v="-1642242.02"/>
    <s v="Amazon"/>
    <n v="4087364971"/>
    <s v="amazon@biz.com"/>
    <s v="Education"/>
    <s v="Books"/>
    <s v="India"/>
    <x v="0"/>
    <n v="147438"/>
    <s v="XXXX-XXXX-9901"/>
    <s v="asha.singh@example.com"/>
    <n v="6212035096"/>
    <s v="No"/>
    <s v="Repeat Purchase"/>
    <d v="2025-04-01T00:00:00"/>
  </r>
  <r>
    <s v="TX101562"/>
    <d v="2024-06-09T00:00:00"/>
    <s v="AC7119"/>
    <x v="0"/>
    <x v="0"/>
    <n v="-1.81"/>
    <s v="GBP"/>
    <n v="102.1152"/>
    <n v="-1001090.53"/>
    <s v="Zomato"/>
    <n v="528137294"/>
    <s v="zomato@biz.com"/>
    <s v="Clothing"/>
    <s v="Men"/>
    <s v="UK"/>
    <x v="5"/>
    <n v="875430"/>
    <s v="XXXX-XXXX-XXXX-3796"/>
    <s v="dev.kumar@yahoo.com"/>
    <n v="-2567103896"/>
    <s v="No"/>
    <s v="Suspected Fraud"/>
    <d v="2019-01-29T00:00:00"/>
  </r>
  <r>
    <s v="TX105840"/>
    <d v="2025-09-08T00:00:00"/>
    <s v="AC6706"/>
    <x v="274"/>
    <x v="2"/>
    <n v="50.91"/>
    <s v="GBP"/>
    <n v="101.1528"/>
    <n v="-2913263.77"/>
    <s v="AutoZone"/>
    <n v="2213571126"/>
    <s v="autozone@biz.com"/>
    <s v="Automotive"/>
    <s v="Repair"/>
    <s v="Canada"/>
    <x v="4"/>
    <n v="910936"/>
    <n v="4623670000000000"/>
    <s v="dev.patel@yahoo.com"/>
    <n v="8296234576"/>
    <s v="No"/>
    <s v="Chargeback Requested"/>
    <d v="1905-07-17T00:00:00"/>
  </r>
  <r>
    <s v="TX100944"/>
    <d v="2024-05-04T00:00:00"/>
    <s v="AC3471"/>
    <x v="250"/>
    <x v="0"/>
    <n v="303.68"/>
    <s v="GBP"/>
    <n v="102.45480000000001"/>
    <n v="-530323.26"/>
    <s v="BigBasket"/>
    <n v="-4051994696"/>
    <s v="bigbasket@biz.com"/>
    <s v="Health"/>
    <s v="Clinic"/>
    <s v="USA"/>
    <x v="1"/>
    <n v="811805"/>
    <s v="XXXX-XXXX-9025"/>
    <s v="suresh.roy@yahoo.com"/>
    <n v="-2792374967"/>
    <s v="No"/>
    <s v="Manual Adjustment"/>
    <d v="1905-07-15T00:00:00"/>
  </r>
  <r>
    <s v="TX100337"/>
    <d v="2025-07-03T00:00:00"/>
    <s v="AC4477"/>
    <x v="275"/>
    <x v="0"/>
    <n v="22.52"/>
    <s v="GBP"/>
    <n v="106.4147"/>
    <n v="-175993.51"/>
    <s v="Walmart"/>
    <n v="7116872960"/>
    <s v="walmart@biz.com"/>
    <s v="Health"/>
    <s v="Clinic"/>
    <s v="Australia"/>
    <x v="5"/>
    <n v="994550"/>
    <s v="XXXX-XXXX-3856"/>
    <s v="anita.joshi@yahoo.com"/>
    <n v="-2336358693"/>
    <s v="No"/>
    <s v="Chargeback Requested"/>
    <d v="2023-07-01T00:00:00"/>
  </r>
  <r>
    <s v="TX102151"/>
    <d v="2024-01-10T00:00:00"/>
    <s v="AC8387"/>
    <x v="244"/>
    <x v="0"/>
    <n v="243.17"/>
    <s v="inr"/>
    <n v="1"/>
    <n v="-1214548.28"/>
    <s v="Reliance"/>
    <n v="6178640858"/>
    <s v="reliance@biz.com"/>
    <s v="Entertainment"/>
    <s v="Movies"/>
    <s v="UK"/>
    <x v="1"/>
    <n v="444146"/>
    <s v="XXXX-XXXX-5499"/>
    <s v="karan.reddy@example.com"/>
    <n v="3413418809"/>
    <s v="No"/>
    <s v="Suspected Fraud"/>
    <d v="2023-02-01T00:00:00"/>
  </r>
  <r>
    <s v="TX102824"/>
    <d v="2024-04-03T00:00:00"/>
    <s v="AC6050"/>
    <x v="273"/>
    <x v="0"/>
    <n v="31.1"/>
    <s v="AED"/>
    <n v="21.733699999999999"/>
    <n v="-1625277.58"/>
    <s v="AutoZone"/>
    <n v="5506671727"/>
    <s v="autozone@biz.com"/>
    <s v="Health"/>
    <s v="Pharmacy"/>
    <s v="Canada"/>
    <x v="8"/>
    <n v="325051"/>
    <s v="XXXX-XXXX-XXXX-6901"/>
    <s v="suresh.patel@yahoo.com"/>
    <n v="-1385739975"/>
    <s v="No"/>
    <s v="Monthly Subscription"/>
    <d v="2024-12-01T00:00:00"/>
  </r>
  <r>
    <s v="TX102275"/>
    <d v="2024-08-10T00:00:00"/>
    <s v="AC7258"/>
    <x v="204"/>
    <x v="0"/>
    <n v="9"/>
    <s v="USD"/>
    <n v="72.350700000000003"/>
    <n v="-1271043.8899999999"/>
    <s v="ShopEasy"/>
    <n v="3827888047"/>
    <s v="shopeasy@biz.com"/>
    <s v="Health"/>
    <s v="Clinic"/>
    <s v="Australia"/>
    <x v="5"/>
    <n v="831763"/>
    <n v="4033590000000000"/>
    <s v="maya.iyer@example.com"/>
    <n v="6845729977"/>
    <s v="Yes"/>
    <s v="Cashback Credited"/>
    <d v="2015-11-01T00:00:00"/>
  </r>
  <r>
    <s v="TX104308"/>
    <d v="2024-12-11T00:00:00"/>
    <s v="AC2240"/>
    <x v="219"/>
    <x v="0"/>
    <n v="26.15"/>
    <s v="AED"/>
    <n v="19.741700000000002"/>
    <n v="-2308564.9700000002"/>
    <s v="Zomato"/>
    <n v="-5309943878"/>
    <s v="zomato@biz.com"/>
    <s v="Groceries"/>
    <s v="Specialty"/>
    <s v="UK"/>
    <x v="3"/>
    <n v="802128"/>
    <s v="XXXX-XXXX-9774"/>
    <s v="karan.singh@yahoo.com"/>
    <n v="-529928323"/>
    <s v="No"/>
    <s v="Chargeback Requested"/>
    <d v="1905-07-09T00:00:00"/>
  </r>
  <r>
    <s v="TX103270"/>
    <d v="2025-08-09T00:00:00"/>
    <s v="AC5407"/>
    <x v="199"/>
    <x v="0"/>
    <n v="25.56"/>
    <s v="inr"/>
    <n v="1"/>
    <n v="-1774545.02"/>
    <s v="Flipkart"/>
    <n v="-65135632"/>
    <s v="flipkart@biz.com"/>
    <s v="Automotive"/>
    <s v="Fuel"/>
    <s v="Canada"/>
    <x v="2"/>
    <n v="807553"/>
    <n v="4281420000000000"/>
    <s v="sam.singh@hotmail.com"/>
    <n v="-8167968680"/>
    <s v="Yess"/>
    <s v="Chargeback Requested"/>
    <d v="1905-07-16T00:00:00"/>
  </r>
  <r>
    <s v="TX101891"/>
    <d v="2025-12-08T00:00:00"/>
    <s v="AC3791"/>
    <x v="51"/>
    <x v="1"/>
    <n v="33.369999999999997"/>
    <s v="AED"/>
    <n v="21.107800000000001"/>
    <n v="-1162827.51"/>
    <s v="Flipkart"/>
    <n v="9342828972"/>
    <s v="flipkart@biz.com"/>
    <s v="Health"/>
    <s v="Pharmacy"/>
    <s v="Canada"/>
    <x v="0"/>
    <n v="920223"/>
    <s v="XXXX-XXXX-4135"/>
    <s v="isha.singh@yahoocom"/>
    <n v="18065266"/>
    <s v="No"/>
    <s v="Promo Applied"/>
    <d v="2022-06-01T00:00:00"/>
  </r>
  <r>
    <s v="TX105012"/>
    <d v="2024-07-01T00:00:00"/>
    <s v="AC3386"/>
    <x v="57"/>
    <x v="1"/>
    <n v="33.47"/>
    <s v="USD"/>
    <n v="75.520099999999999"/>
    <n v="-2624683.61"/>
    <s v="Zomato"/>
    <n v="898686132"/>
    <s v="zomato@biz.com"/>
    <s v="Clothing"/>
    <s v="Women"/>
    <s v="UAE"/>
    <x v="1"/>
    <n v="195660"/>
    <s v="XXXX-XXXX-XXXX-2811"/>
    <s v="sana.patel@hotmail.com"/>
    <n v="3891327919"/>
    <s v="No"/>
    <s v="Cashback Credited"/>
    <d v="1905-07-07T00:00:00"/>
  </r>
  <r>
    <s v="TX104910"/>
    <d v="2025-07-09T00:00:00"/>
    <s v="AC6902"/>
    <x v="243"/>
    <x v="2"/>
    <n v="17.78"/>
    <s v="inr"/>
    <n v="1"/>
    <n v="-2582788.7200000002"/>
    <s v="Zomato"/>
    <n v="5488679891"/>
    <s v="zomato@biz.com"/>
    <s v="Automotive"/>
    <s v="Fuel"/>
    <s v="USA"/>
    <x v="1"/>
    <n v="364579"/>
    <s v="XXXX-XXXX-XXXX-2225"/>
    <s v="priya.bose@hotmail.com"/>
    <n v="-4110129577"/>
    <s v="No"/>
    <s v="Chargeback Requested"/>
    <d v="2022-03-27T00:00:00"/>
  </r>
  <r>
    <s v="TX100645"/>
    <d v="2024-01-10T00:00:00"/>
    <s v="AC8580"/>
    <x v="187"/>
    <x v="1"/>
    <n v="23.87"/>
    <s v="USD"/>
    <n v="78.070099999999996"/>
    <n v="-281953.03000000003"/>
    <s v="Flipkart"/>
    <n v="7407949554"/>
    <s v="flipkart@biz.com"/>
    <s v="Utilities"/>
    <s v="Water"/>
    <s v="Canada"/>
    <x v="7"/>
    <n v="487627"/>
    <s v="XXXX-XXXX-XXXX-9714"/>
    <s v="neha.patel@hotmail.com"/>
    <n v="1922215748"/>
    <s v="No"/>
    <s v="Monthly Subscription"/>
    <d v="2016-06-01T00:00:00"/>
  </r>
  <r>
    <s v="TX103088"/>
    <d v="2024-03-09T00:00:00"/>
    <s v="AC6336"/>
    <x v="123"/>
    <x v="0"/>
    <n v="3.19"/>
    <s v="USD"/>
    <n v="78.072199999999995"/>
    <n v="-1675746.91"/>
    <s v="Zomato"/>
    <n v="8752273352"/>
    <s v="zomato@biz.com"/>
    <s v="Automotive"/>
    <s v="Fuel"/>
    <s v="USA"/>
    <x v="4"/>
    <n v="586891"/>
    <s v="XXXX-XXXX-XXXX-7595"/>
    <s v="raj.khan@hotmail.com"/>
    <n v="2385597721"/>
    <s v="No"/>
    <s v="Repeat Purchase"/>
    <d v="2022-01-09T00:00:00"/>
  </r>
  <r>
    <s v="TX101019"/>
    <d v="2024-11-02T00:00:00"/>
    <s v="AC1949"/>
    <x v="130"/>
    <x v="0"/>
    <n v="55.09"/>
    <s v="GBP"/>
    <n v="90.806600000000003"/>
    <n v="-541404.43000000005"/>
    <s v="Swiggy"/>
    <n v="4321864664"/>
    <s v="swiggy@biz.com"/>
    <s v="Groceries"/>
    <s v="Specialty"/>
    <s v="USA"/>
    <x v="5"/>
    <n v="617069"/>
    <s v="XXXX-XXXX-5522"/>
    <s v="vikram.iyer@example.com"/>
    <n v="4968357912"/>
    <s v="No"/>
    <s v="Chargeback Requested"/>
    <d v="2015-07-01T00:00:00"/>
  </r>
  <r>
    <s v="TX105570"/>
    <d v="2025-03-08T00:00:00"/>
    <s v="AC9453"/>
    <x v="165"/>
    <x v="2"/>
    <n v="33"/>
    <s v="USD"/>
    <n v="79.793300000000002"/>
    <n v="-2868208.55"/>
    <s v="Zomato"/>
    <n v="3117395503"/>
    <s v="zomato@biz.com"/>
    <s v="Entertainment"/>
    <s v="Concert"/>
    <s v="UAE"/>
    <x v="2"/>
    <n v="585141"/>
    <s v="XXXX-XXXX-XXXX-2224"/>
    <m/>
    <n v="1480298899"/>
    <s v="No"/>
    <s v="Chargeback Requested"/>
    <d v="1905-07-17T00:00:00"/>
  </r>
  <r>
    <s v="TX101970"/>
    <d v="2024-10-06T00:00:00"/>
    <s v="AC4502"/>
    <x v="157"/>
    <x v="0"/>
    <n v="67.510000000000005"/>
    <s v="GBP"/>
    <n v="103.23050000000001"/>
    <n v="-1170489.67"/>
    <s v="LocalMart"/>
    <n v="7547985162"/>
    <s v="localmart@biz.com"/>
    <s v="Electronics"/>
    <s v="Laptop"/>
    <s v="UAE"/>
    <x v="8"/>
    <n v="349159"/>
    <s v="XXXX-XXXX-6701"/>
    <s v="vikram.chopra@yahoo.com"/>
    <n v="4891266214"/>
    <s v="No"/>
    <s v="Manual Adjustment"/>
    <d v="2018-09-05T00:00:00"/>
  </r>
  <r>
    <s v="TX104427"/>
    <d v="2025-06-04T00:00:00"/>
    <s v="AC8763"/>
    <x v="232"/>
    <x v="1"/>
    <n v="12.02"/>
    <s v="USD"/>
    <n v="75.407399999999996"/>
    <n v="-2452524.31"/>
    <s v="Zomato"/>
    <n v="4150218968"/>
    <s v="zomato@biz.com"/>
    <s v="Utilities"/>
    <s v="Internet"/>
    <s v="India"/>
    <x v="1"/>
    <n v="203479"/>
    <s v="XXXX-XXXX-6365"/>
    <s v="maya.reddy@hotmail.com "/>
    <n v="1803759199"/>
    <s v="No"/>
    <s v="Manual Adjustment"/>
    <d v="2023-08-01T00:00:00"/>
  </r>
  <r>
    <s v="TX103232"/>
    <d v="2024-10-03T00:00:00"/>
    <s v="AC8613"/>
    <x v="202"/>
    <x v="0"/>
    <n v="9.16"/>
    <s v="USD"/>
    <n v="72.164599999999993"/>
    <n v="-1714301.11"/>
    <s v="Myntra"/>
    <n v="1811496181"/>
    <s v="myntra@biz.com"/>
    <s v="Groceries"/>
    <s v="Specialty"/>
    <s v="Canada"/>
    <x v="0"/>
    <n v="256792"/>
    <s v="XXXX-XXXX-XXXX-8640"/>
    <s v="rahul.roy@example.com"/>
    <n v="4895687945"/>
    <s v="No"/>
    <s v="Suspected Fraud"/>
    <d v="1905-07-08T00:00:00"/>
  </r>
  <r>
    <s v="TX102488"/>
    <d v="2025-04-06T00:00:00"/>
    <s v="AC1278"/>
    <x v="16"/>
    <x v="1"/>
    <n v="34.14"/>
    <s v="inr"/>
    <n v="1"/>
    <n v="-1499722.68"/>
    <s v="Myntra"/>
    <n v="2563844091"/>
    <s v="myntra@biz.com"/>
    <s v="Dining"/>
    <s v="Restaurant"/>
    <s v="Australia"/>
    <x v="10"/>
    <n v="694434"/>
    <s v="XXXX-XXXX-XXXX-5705"/>
    <s v="uma.kumar@gmail.com"/>
    <n v="706802240"/>
    <s v="No"/>
    <s v="Chargeback Requested"/>
    <d v="2017-05-01T00:00:00"/>
  </r>
  <r>
    <s v="TX103569"/>
    <d v="2025-05-06T00:00:00"/>
    <s v="AC6773"/>
    <x v="11"/>
    <x v="0"/>
    <n v="97.99"/>
    <s v="inr"/>
    <n v="1"/>
    <n v="-1985074.11"/>
    <s v="Flipkart"/>
    <n v="799741113"/>
    <s v="flipkart@biz.com"/>
    <s v="Entertainment"/>
    <s v="Movies"/>
    <s v="Canada"/>
    <x v="3"/>
    <n v="520992"/>
    <n v="4636170000000000"/>
    <s v="dev.singh@yahoo.com"/>
    <n v="751584857"/>
    <s v="No"/>
    <s v="Suspected Fraud"/>
    <d v="2019-04-01T00:00:00"/>
  </r>
  <r>
    <s v="TX104656"/>
    <d v="2025-11-02T00:00:00"/>
    <s v="AC4234"/>
    <x v="42"/>
    <x v="0"/>
    <n v="-22.68"/>
    <s v="AED"/>
    <n v="20.3568"/>
    <n v="-2467584.02"/>
    <s v="Paytm Mall"/>
    <n v="1050520245"/>
    <s v="paytmmall@biz.com"/>
    <s v="Health"/>
    <s v="Pharmacy"/>
    <s v="USA"/>
    <x v="8"/>
    <n v="464351"/>
    <s v="XXXX-XXXX-5136"/>
    <s v="sam.mehta@hotmail.com"/>
    <n v="2787171049"/>
    <s v="No"/>
    <s v="Repeat Purchase"/>
    <d v="2015-12-01T00:00:00"/>
  </r>
  <r>
    <s v="TX100269"/>
    <d v="2024-04-10T00:00:00"/>
    <s v="AC9562"/>
    <x v="172"/>
    <x v="0"/>
    <n v="38.74"/>
    <s v="inr"/>
    <n v="1"/>
    <n v="-174233.49"/>
    <s v="Paytm Mall"/>
    <n v="8492286479"/>
    <s v="paytmmall@biz.com"/>
    <s v="Travel"/>
    <s v="Hotel"/>
    <s v="India"/>
    <x v="1"/>
    <n v="430998"/>
    <s v="XXXX-XXXX-1227"/>
    <s v="priya.roy@hotmail.com"/>
    <n v="3561045137"/>
    <s v="No"/>
    <s v="Chargeback Requested"/>
    <d v="2024-01-11T00:00:00"/>
  </r>
  <r>
    <s v="TX102912"/>
    <d v="2024-10-01T00:00:00"/>
    <s v="AC9081"/>
    <x v="2"/>
    <x v="0"/>
    <n v="13.77"/>
    <s v="USD"/>
    <n v="73.589699999999993"/>
    <n v="-1639894.75"/>
    <s v="Zomato"/>
    <n v="990529935"/>
    <s v="zomato@biz.com"/>
    <s v="Health"/>
    <s v="Pharmacy"/>
    <s v="India"/>
    <x v="2"/>
    <n v="789210"/>
    <s v="XXXX-XXXX-4585"/>
    <s v="karan.bose@gmail.com"/>
    <n v="5353604317"/>
    <s v="No"/>
    <s v="Cashback Credited"/>
    <d v="1905-07-14T00:00:00"/>
  </r>
  <r>
    <s v="TX103107"/>
    <d v="2023-11-10T00:00:00"/>
    <s v="AC8233"/>
    <x v="90"/>
    <x v="1"/>
    <n v="65.819999999999993"/>
    <s v="USD"/>
    <n v="76.959900000000005"/>
    <n v="-1675983.31"/>
    <s v="Paytm Mall"/>
    <n v="9549561403"/>
    <s v="paytmmall@biz.com"/>
    <s v="Dining"/>
    <s v="FastFood"/>
    <s v="Canada"/>
    <x v="5"/>
    <n v="781009"/>
    <n v="4148720000000000"/>
    <s v="raj.iyer@gmail.com"/>
    <n v="793879655"/>
    <s v="No"/>
    <s v="Suspected Fraud"/>
    <d v="2025-05-02T00:00:00"/>
  </r>
  <r>
    <s v="TX105028"/>
    <d v="2025-01-02T00:00:00"/>
    <s v="AC3220"/>
    <x v="215"/>
    <x v="0"/>
    <n v="155.35"/>
    <s v="AED"/>
    <n v="21.086200000000002"/>
    <n v="-2625196.2799999998"/>
    <s v="Myntra"/>
    <n v="8817512857"/>
    <s v="myntra@biz.com"/>
    <s v="Automotive"/>
    <s v="Fuel"/>
    <s v="Canada"/>
    <x v="2"/>
    <n v="592856"/>
    <s v="XXXX-XXXX-7074"/>
    <s v="rahul.singh@hotmail.com"/>
    <n v="2221893645"/>
    <s v="No"/>
    <s v="Monthly Subscription"/>
    <d v="2016-03-02T00:00:00"/>
  </r>
  <r>
    <s v="TX102524"/>
    <d v="2024-01-04T00:00:00"/>
    <s v="AC7694"/>
    <x v="262"/>
    <x v="1"/>
    <n v="100.1"/>
    <s v="GBP"/>
    <n v="98.823999999999998"/>
    <n v="-1527320.1"/>
    <s v="Starbucks"/>
    <n v="-849868673"/>
    <s v="starbucks@biz.com"/>
    <s v="Health"/>
    <s v="Pharmacy"/>
    <s v="USA"/>
    <x v="7"/>
    <n v="110180"/>
    <s v="XXXX-XXXX-8585"/>
    <s v="karan.desai@hotmail.com"/>
    <n v="-6754927087"/>
    <s v="No"/>
    <s v="Cashback Credited"/>
    <d v="2018-07-05T00:00:00"/>
  </r>
  <r>
    <s v="TX105976"/>
    <d v="2024-12-12T00:00:00"/>
    <s v="AC5889"/>
    <x v="276"/>
    <x v="2"/>
    <n v="240.8"/>
    <s v="inr"/>
    <n v="1"/>
    <n v="-2935567.58"/>
    <s v="LocalMart"/>
    <n v="-3914961183"/>
    <s v="localmart@biz.com"/>
    <s v="Entertainment"/>
    <s v="Streaming"/>
    <s v="Australia"/>
    <x v="0"/>
    <n v="381647"/>
    <s v="XXXX-XXXX-4344"/>
    <s v="rohit.joshi@gmail.com"/>
    <n v="3585568958"/>
    <s v="No"/>
    <s v="Chargeback Requested"/>
    <d v="2017-01-05T00:00:00"/>
  </r>
  <r>
    <s v="TX102758"/>
    <d v="2024-06-04T00:00:00"/>
    <s v="AC6226"/>
    <x v="227"/>
    <x v="2"/>
    <n v="8.5299999999999994"/>
    <s v="inr"/>
    <n v="1"/>
    <n v="-1617070.14"/>
    <s v="Walmart"/>
    <n v="8915588330"/>
    <s v="walmart@biz.com"/>
    <s v="Travel"/>
    <s v="Flight"/>
    <s v="UAE"/>
    <x v="3"/>
    <n v="881340"/>
    <s v="XXXX-XXXX-5439"/>
    <s v="suresh.iyer@example.com"/>
    <n v="-5562426883"/>
    <s v="No"/>
    <s v="Monthly Subscription"/>
    <d v="1905-07-10T00:00:00"/>
  </r>
  <r>
    <s v="TX104923"/>
    <d v="2023-03-11T00:00:00"/>
    <s v="AC1229"/>
    <x v="277"/>
    <x v="0"/>
    <n v="180.73"/>
    <s v="inr"/>
    <n v="1"/>
    <n v="-2583217.11"/>
    <s v="Starbucks"/>
    <n v="2383069553"/>
    <s v="starbucks@biz.com"/>
    <s v="Education"/>
    <s v="Course"/>
    <s v="UAE"/>
    <x v="0"/>
    <n v="909423"/>
    <s v="XXXX-XXXX-7248"/>
    <s v="amit.nair@hotmail.com"/>
    <n v="7562452206"/>
    <s v="No"/>
    <s v="Suspected Fraud"/>
    <d v="2020-12-15T00:00:00"/>
  </r>
  <r>
    <s v="TX102044"/>
    <d v="2025-07-04T00:00:00"/>
    <s v="AC5414"/>
    <x v="89"/>
    <x v="0"/>
    <n v="12.34"/>
    <s v="USD"/>
    <n v="73.141499999999994"/>
    <n v="-1198803.46"/>
    <s v="Reliance"/>
    <n v="-5974499641"/>
    <s v="reliance@biz.com"/>
    <s v="Clothing"/>
    <s v="Men"/>
    <s v="Canada"/>
    <x v="8"/>
    <n v="265756"/>
    <s v="XXXX-XXXX-4473"/>
    <s v="priya.sharma@yahoo.com"/>
    <n v="6206725172"/>
    <s v="No"/>
    <s v="Chargeback Requested"/>
    <d v="1905-07-14T00:00:00"/>
  </r>
  <r>
    <s v="TX101865"/>
    <d v="2024-12-11T00:00:00"/>
    <s v="AC9449"/>
    <x v="119"/>
    <x v="2"/>
    <n v="4.5"/>
    <s v="inr"/>
    <n v="1"/>
    <n v="-1150850.78"/>
    <s v="Zomato"/>
    <n v="-5207232974"/>
    <s v="zomato@biz.com"/>
    <s v="Education"/>
    <s v="Course"/>
    <s v="Australia"/>
    <x v="7"/>
    <n v="867876"/>
    <s v="XXXX-XXXX-XXXX-7362"/>
    <s v="neha.bose@gmail.com"/>
    <n v="2067361681"/>
    <s v="No"/>
    <s v="Chargeback Requested"/>
    <d v="2018-05-11T00:00:00"/>
  </r>
  <r>
    <s v="TX103195"/>
    <d v="2023-08-10T00:00:00"/>
    <s v="AC6030"/>
    <x v="0"/>
    <x v="1"/>
    <n v="3.47"/>
    <s v="AED"/>
    <n v="18.721699999999998"/>
    <n v="-1713232.63"/>
    <s v="Paytm Mall"/>
    <n v="5717700381"/>
    <s v="paytmmall@biz.com"/>
    <s v="Travel"/>
    <s v="Flight"/>
    <s v="Australia"/>
    <x v="3"/>
    <n v="149100"/>
    <s v="XXXX-XXXX-2865"/>
    <s v="dev.kumar@gmail.com"/>
    <n v="4451939954"/>
    <s v="No"/>
    <s v="Promo Applied"/>
    <d v="1905-07-11T00:00:00"/>
  </r>
  <r>
    <s v="TX101248"/>
    <d v="2023-06-10T00:00:00"/>
    <s v="AC9327"/>
    <x v="29"/>
    <x v="1"/>
    <n v="43.84"/>
    <s v="USD"/>
    <n v="79.190200000000004"/>
    <n v="-595160.48"/>
    <s v="Paytm Mall"/>
    <n v="1225457903"/>
    <s v="paytmmall@biz.com"/>
    <s v="Utilities"/>
    <s v="Electricity"/>
    <s v="UK"/>
    <x v="7"/>
    <n v="102056"/>
    <s v="XXXX-XXXX-5184"/>
    <s v="rohit.mehta@example.com"/>
    <n v="1321545433"/>
    <s v="No"/>
    <s v="Chargeback Requested"/>
    <d v="2020-07-06T00:00:00"/>
  </r>
  <r>
    <s v="TX105437"/>
    <d v="2025-02-08T00:00:00"/>
    <s v="AC3530"/>
    <x v="177"/>
    <x v="1"/>
    <n v="137.11000000000001"/>
    <s v="inr"/>
    <n v="1"/>
    <n v="-2783792.65"/>
    <s v="LocalMart"/>
    <n v="-7199053964"/>
    <s v="localmart@biz.com"/>
    <s v="Clothing"/>
    <s v="Men"/>
    <s v="UAE"/>
    <x v="2"/>
    <n v="626490"/>
    <s v="XXXX-XXXX-5954"/>
    <s v="rohit.singh@gmail.com"/>
    <n v="-9981343320"/>
    <s v="No"/>
    <s v="Monthly Subscription"/>
    <d v="1905-07-12T00:00:00"/>
  </r>
  <r>
    <s v="TX100257"/>
    <d v="2025-05-02T00:00:00"/>
    <s v="AC9102"/>
    <x v="278"/>
    <x v="1"/>
    <n v="14.17"/>
    <s v="inr"/>
    <n v="1"/>
    <n v="-174002.66"/>
    <s v="ElectroWorld"/>
    <n v="3202556027"/>
    <s v="electroworld@biz.com"/>
    <s v="Health"/>
    <s v="Pharmacy"/>
    <s v="Canada"/>
    <x v="5"/>
    <n v="571488"/>
    <s v="XXXX-XXXX-7543"/>
    <s v="uma.desai@gmailcom"/>
    <n v="-4218205669"/>
    <s v="No"/>
    <s v="Suspected Fraud"/>
    <d v="2021-06-08T00:00:00"/>
  </r>
  <r>
    <s v="TX105582"/>
    <d v="2025-04-09T00:00:00"/>
    <s v="AC4645"/>
    <x v="197"/>
    <x v="0"/>
    <n v="238"/>
    <s v="USD"/>
    <n v="78.623099999999994"/>
    <n v="-2868578.69"/>
    <s v="ElectroWorld"/>
    <n v="1854902977"/>
    <s v="electroworld@biz.com"/>
    <s v="Dining"/>
    <s v="Restaurant"/>
    <s v="UK"/>
    <x v="8"/>
    <n v="716530"/>
    <s v="XXXX-XXXX-3308"/>
    <s v="maya.patelexample.com"/>
    <n v="8461932022"/>
    <s v="No"/>
    <s v="Manual Adjustment"/>
    <d v="2024-08-01T00:00:00"/>
  </r>
  <r>
    <s v="TX101176"/>
    <d v="2024-10-11T00:00:00"/>
    <s v="AC5305"/>
    <x v="17"/>
    <x v="1"/>
    <n v="4.34"/>
    <s v="INR "/>
    <n v="1"/>
    <n v="-564894.48"/>
    <s v="AutoZone"/>
    <n v="7462108036"/>
    <s v="autozone@biz.com"/>
    <s v="Automotive"/>
    <s v="Fuel"/>
    <s v="India"/>
    <x v="5"/>
    <n v="806511"/>
    <s v="XXXX-XXXX-2317"/>
    <s v="lina.joshi@yahoo.com"/>
    <n v="-9883775602"/>
    <s v="No"/>
    <s v="Promo Applied"/>
    <d v="2016-09-0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2C9211-5586-49F1-BE19-03C320279148}" name="PivotTable9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1">
  <location ref="A3:B14" firstHeaderRow="1" firstDataRow="1" firstDataCol="1"/>
  <pivotFields count="2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">
        <item x="5"/>
        <item x="6"/>
        <item x="0"/>
        <item x="4"/>
        <item x="7"/>
        <item x="1"/>
        <item x="8"/>
        <item x="10"/>
        <item x="2"/>
        <item x="3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Items count="1">
    <i/>
  </colItems>
  <dataFields count="1">
    <dataField name="Sum of ExchangeRate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96F0C0-372F-4DF9-8E91-E03054CEF4BE}" name="PivotTable10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F284" firstHeaderRow="1" firstDataRow="2" firstDataCol="1"/>
  <pivotFields count="23">
    <pivotField showAll="0"/>
    <pivotField numFmtId="14" showAll="0"/>
    <pivotField showAll="0"/>
    <pivotField axis="axisRow" showAll="0">
      <items count="280">
        <item x="271"/>
        <item x="14"/>
        <item x="70"/>
        <item x="91"/>
        <item x="27"/>
        <item x="45"/>
        <item x="103"/>
        <item x="180"/>
        <item x="55"/>
        <item x="277"/>
        <item x="236"/>
        <item x="26"/>
        <item x="53"/>
        <item x="272"/>
        <item x="175"/>
        <item x="165"/>
        <item x="152"/>
        <item x="87"/>
        <item x="22"/>
        <item x="275"/>
        <item x="73"/>
        <item x="235"/>
        <item x="230"/>
        <item x="147"/>
        <item x="181"/>
        <item x="59"/>
        <item x="248"/>
        <item x="259"/>
        <item x="258"/>
        <item x="160"/>
        <item x="184"/>
        <item x="106"/>
        <item x="226"/>
        <item x="35"/>
        <item x="238"/>
        <item x="100"/>
        <item x="216"/>
        <item x="96"/>
        <item x="195"/>
        <item x="43"/>
        <item x="76"/>
        <item x="186"/>
        <item x="207"/>
        <item x="1"/>
        <item x="24"/>
        <item x="38"/>
        <item x="234"/>
        <item x="194"/>
        <item x="167"/>
        <item x="98"/>
        <item x="265"/>
        <item x="144"/>
        <item x="245"/>
        <item x="8"/>
        <item x="256"/>
        <item x="201"/>
        <item x="13"/>
        <item x="10"/>
        <item x="141"/>
        <item x="117"/>
        <item x="5"/>
        <item x="126"/>
        <item x="56"/>
        <item x="0"/>
        <item x="274"/>
        <item x="124"/>
        <item x="114"/>
        <item x="11"/>
        <item x="41"/>
        <item x="211"/>
        <item x="101"/>
        <item x="154"/>
        <item x="40"/>
        <item x="137"/>
        <item x="107"/>
        <item x="118"/>
        <item x="71"/>
        <item x="62"/>
        <item x="66"/>
        <item x="39"/>
        <item x="268"/>
        <item x="51"/>
        <item x="2"/>
        <item x="223"/>
        <item x="148"/>
        <item x="262"/>
        <item x="270"/>
        <item x="65"/>
        <item x="58"/>
        <item x="221"/>
        <item x="225"/>
        <item x="228"/>
        <item x="244"/>
        <item x="131"/>
        <item x="46"/>
        <item x="219"/>
        <item x="146"/>
        <item x="99"/>
        <item x="83"/>
        <item x="178"/>
        <item x="125"/>
        <item x="17"/>
        <item x="47"/>
        <item x="214"/>
        <item x="68"/>
        <item x="142"/>
        <item x="79"/>
        <item x="78"/>
        <item x="196"/>
        <item x="134"/>
        <item x="179"/>
        <item x="260"/>
        <item x="33"/>
        <item x="12"/>
        <item x="204"/>
        <item x="237"/>
        <item x="156"/>
        <item x="176"/>
        <item x="163"/>
        <item x="220"/>
        <item x="197"/>
        <item x="232"/>
        <item x="174"/>
        <item x="241"/>
        <item x="6"/>
        <item x="143"/>
        <item x="119"/>
        <item x="112"/>
        <item x="81"/>
        <item x="120"/>
        <item x="132"/>
        <item x="253"/>
        <item x="254"/>
        <item x="72"/>
        <item x="187"/>
        <item x="74"/>
        <item x="48"/>
        <item x="140"/>
        <item x="84"/>
        <item x="149"/>
        <item x="243"/>
        <item x="213"/>
        <item x="36"/>
        <item x="54"/>
        <item x="246"/>
        <item x="200"/>
        <item x="77"/>
        <item x="116"/>
        <item x="266"/>
        <item x="135"/>
        <item x="50"/>
        <item x="172"/>
        <item x="89"/>
        <item x="4"/>
        <item x="251"/>
        <item x="95"/>
        <item x="170"/>
        <item x="80"/>
        <item x="162"/>
        <item x="111"/>
        <item x="233"/>
        <item x="269"/>
        <item x="15"/>
        <item x="150"/>
        <item x="190"/>
        <item x="202"/>
        <item x="267"/>
        <item x="215"/>
        <item x="189"/>
        <item x="164"/>
        <item x="122"/>
        <item x="105"/>
        <item x="69"/>
        <item x="90"/>
        <item x="212"/>
        <item x="123"/>
        <item x="155"/>
        <item x="239"/>
        <item x="249"/>
        <item x="18"/>
        <item x="151"/>
        <item x="52"/>
        <item x="224"/>
        <item x="44"/>
        <item x="102"/>
        <item x="206"/>
        <item x="136"/>
        <item x="133"/>
        <item x="92"/>
        <item x="31"/>
        <item x="168"/>
        <item x="49"/>
        <item x="20"/>
        <item x="145"/>
        <item x="183"/>
        <item x="121"/>
        <item x="218"/>
        <item x="64"/>
        <item x="60"/>
        <item x="252"/>
        <item x="25"/>
        <item x="217"/>
        <item x="222"/>
        <item x="276"/>
        <item x="67"/>
        <item x="34"/>
        <item x="29"/>
        <item x="173"/>
        <item x="86"/>
        <item x="28"/>
        <item x="61"/>
        <item x="198"/>
        <item x="177"/>
        <item x="205"/>
        <item x="127"/>
        <item x="110"/>
        <item x="82"/>
        <item x="158"/>
        <item x="7"/>
        <item x="42"/>
        <item x="229"/>
        <item x="210"/>
        <item x="93"/>
        <item x="247"/>
        <item x="185"/>
        <item x="199"/>
        <item x="240"/>
        <item x="192"/>
        <item x="88"/>
        <item x="104"/>
        <item x="115"/>
        <item x="32"/>
        <item x="171"/>
        <item x="3"/>
        <item x="261"/>
        <item x="188"/>
        <item x="57"/>
        <item x="113"/>
        <item x="37"/>
        <item x="30"/>
        <item x="257"/>
        <item x="166"/>
        <item x="231"/>
        <item x="227"/>
        <item x="263"/>
        <item x="191"/>
        <item x="129"/>
        <item x="85"/>
        <item x="94"/>
        <item x="273"/>
        <item x="75"/>
        <item x="250"/>
        <item x="159"/>
        <item x="209"/>
        <item x="109"/>
        <item x="278"/>
        <item x="138"/>
        <item x="169"/>
        <item x="161"/>
        <item x="63"/>
        <item x="16"/>
        <item x="19"/>
        <item x="108"/>
        <item x="139"/>
        <item x="203"/>
        <item x="97"/>
        <item x="157"/>
        <item x="21"/>
        <item x="242"/>
        <item x="208"/>
        <item x="130"/>
        <item x="255"/>
        <item x="9"/>
        <item x="264"/>
        <item x="153"/>
        <item x="23"/>
        <item x="128"/>
        <item x="182"/>
        <item x="193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5016D7BF-5918-402B-AFD6-8B862A73E1B1}" autoFormatId="16" applyNumberFormats="0" applyBorderFormats="0" applyFontFormats="0" applyPatternFormats="0" applyAlignmentFormats="0" applyWidthHeightFormats="0">
  <queryTableRefresh nextId="24">
    <queryTableFields count="23">
      <queryTableField id="1" name="TransactionID" tableColumnId="1"/>
      <queryTableField id="2" name="Date" tableColumnId="2"/>
      <queryTableField id="3" name="AccountID" tableColumnId="3"/>
      <queryTableField id="4" name="AccountName" tableColumnId="4"/>
      <queryTableField id="5" name="TransactionType" tableColumnId="5"/>
      <queryTableField id="6" name="Amount" tableColumnId="6"/>
      <queryTableField id="7" name="Currency" tableColumnId="7"/>
      <queryTableField id="8" name="ExchangeRate" tableColumnId="8"/>
      <queryTableField id="9" name="Balance" tableColumnId="9"/>
      <queryTableField id="10" name="Merchant" tableColumnId="10"/>
      <queryTableField id="11" name="MerchantPhone" tableColumnId="11"/>
      <queryTableField id="12" name="MerchantEmail" tableColumnId="12"/>
      <queryTableField id="13" name="Category" tableColumnId="13"/>
      <queryTableField id="14" name="Subcategory" tableColumnId="14"/>
      <queryTableField id="15" name="Country" tableColumnId="15"/>
      <queryTableField id="16" name="City" tableColumnId="16"/>
      <queryTableField id="17" name="PostalCode" tableColumnId="17"/>
      <queryTableField id="18" name="CardNumber" tableColumnId="18"/>
      <queryTableField id="19" name="Email" tableColumnId="19"/>
      <queryTableField id="20" name="Phone" tableColumnId="20"/>
      <queryTableField id="21" name="IsFraud" tableColumnId="21"/>
      <queryTableField id="22" name="Notes" tableColumnId="22"/>
      <queryTableField id="23" name="CustomerSince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1B40FA-43ED-4F59-8801-C7ED314A1976}" name="Table1_2__4" displayName="Table1_2__4" ref="A1:W564" tableType="queryTable" totalsRowCount="1">
  <autoFilter ref="A1:W563" xr:uid="{3356DC75-9004-4A0C-9D5C-066B3674A38F}"/>
  <tableColumns count="23">
    <tableColumn id="1" xr3:uid="{DC3D1E5F-E967-4836-A8D5-7A020F7D3B5B}" uniqueName="1" name="TransactionID" queryTableFieldId="1"/>
    <tableColumn id="2" xr3:uid="{14725A4A-DDD0-42E1-9134-B4221C829226}" uniqueName="2" name="Date" totalsRowFunction="sum" queryTableFieldId="2" dataDxfId="3" totalsRowDxfId="2"/>
    <tableColumn id="3" xr3:uid="{9BF39EB7-EF50-43E7-9093-0C35DDABC60A}" uniqueName="3" name="AccountID" totalsRowFunction="sum" queryTableFieldId="3"/>
    <tableColumn id="4" xr3:uid="{E4AE3642-56E9-49A7-83EF-666B19F8EAC9}" uniqueName="4" name="AccountName" totalsRowFunction="sum" queryTableFieldId="4"/>
    <tableColumn id="5" xr3:uid="{82325EC4-0728-40AF-8B70-C6C3A6F3A8BF}" uniqueName="5" name="TransactionType" totalsRowFunction="sum" queryTableFieldId="5"/>
    <tableColumn id="6" xr3:uid="{1C429D96-8F9A-4A40-8528-D86BD45F29CE}" uniqueName="6" name="Amount" totalsRowFunction="sum" queryTableFieldId="6"/>
    <tableColumn id="7" xr3:uid="{6EF50ED8-378A-4066-8ADB-C22285AA9548}" uniqueName="7" name="Currency" totalsRowFunction="sum" queryTableFieldId="7"/>
    <tableColumn id="8" xr3:uid="{0B7F4340-371B-40A9-ADAB-07E1B555AD50}" uniqueName="8" name="ExchangeRate" totalsRowFunction="sum" queryTableFieldId="8"/>
    <tableColumn id="9" xr3:uid="{8A7F8372-AFC0-4AFE-B482-1B92FDADB1C9}" uniqueName="9" name="Balance" totalsRowFunction="sum" queryTableFieldId="9"/>
    <tableColumn id="10" xr3:uid="{DA98B987-1908-44F9-85B1-49C0902D2C7E}" uniqueName="10" name="Merchant" totalsRowFunction="sum" queryTableFieldId="10"/>
    <tableColumn id="11" xr3:uid="{E158FC4B-C35B-43E6-B91B-6EF85F424B93}" uniqueName="11" name="MerchantPhone" totalsRowFunction="sum" queryTableFieldId="11"/>
    <tableColumn id="12" xr3:uid="{FCC586C5-A16D-4DBF-A1FC-F8FB79D2F7C9}" uniqueName="12" name="MerchantEmail" totalsRowFunction="sum" queryTableFieldId="12"/>
    <tableColumn id="13" xr3:uid="{556891EC-F3CC-47DC-8E90-2D662876D862}" uniqueName="13" name="Category" totalsRowFunction="sum" queryTableFieldId="13"/>
    <tableColumn id="14" xr3:uid="{51CC242E-B4CC-4F88-848A-337E7A90985A}" uniqueName="14" name="Subcategory" totalsRowFunction="sum" queryTableFieldId="14"/>
    <tableColumn id="15" xr3:uid="{FFA403E4-06EC-4915-A099-D30864795F3A}" uniqueName="15" name="Country" totalsRowFunction="sum" queryTableFieldId="15"/>
    <tableColumn id="16" xr3:uid="{02BCC0B3-4A1E-4FE5-BECA-85479F340F30}" uniqueName="16" name="City" totalsRowFunction="sum" queryTableFieldId="16"/>
    <tableColumn id="17" xr3:uid="{C83692B0-EDB6-4CE4-B36B-142F88E77C31}" uniqueName="17" name="PostalCode" totalsRowFunction="sum" queryTableFieldId="17"/>
    <tableColumn id="18" xr3:uid="{D25C62D7-0CF6-4E53-AD13-CDD6B8DC4FAC}" uniqueName="18" name="CardNumber" totalsRowFunction="sum" queryTableFieldId="18"/>
    <tableColumn id="19" xr3:uid="{81EBA4F0-8E96-4DF6-B9A4-96CB28581005}" uniqueName="19" name="Email" totalsRowFunction="sum" queryTableFieldId="19"/>
    <tableColumn id="20" xr3:uid="{03519F99-630F-446E-8592-71B8C517C03F}" uniqueName="20" name="Phone" totalsRowFunction="sum" queryTableFieldId="20"/>
    <tableColumn id="21" xr3:uid="{C63B091A-771A-4FCF-B42E-59445A588645}" uniqueName="21" name="IsFraud" totalsRowFunction="sum" queryTableFieldId="21"/>
    <tableColumn id="22" xr3:uid="{0E00219B-3BE9-43FA-90F1-0E5358E47093}" uniqueName="22" name="Notes" totalsRowFunction="sum" queryTableFieldId="22"/>
    <tableColumn id="23" xr3:uid="{8F8449DB-5AA6-4339-BF28-9EFC5985B172}" uniqueName="23" name="CustomerSince" totalsRowFunction="sum" queryTableFieldId="23" dataDxfId="1" totalsRow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B0DFA-08A1-444A-9847-745D3C4DB5A4}">
  <dimension ref="A3:B14"/>
  <sheetViews>
    <sheetView tabSelected="1" workbookViewId="0">
      <selection activeCell="A3" sqref="A3"/>
    </sheetView>
  </sheetViews>
  <sheetFormatPr defaultRowHeight="15" x14ac:dyDescent="0.25"/>
  <cols>
    <col min="1" max="1" width="10.5703125" bestFit="1" customWidth="1"/>
    <col min="2" max="2" width="20.140625" bestFit="1" customWidth="1"/>
  </cols>
  <sheetData>
    <row r="3" spans="1:2" x14ac:dyDescent="0.25">
      <c r="A3" s="2" t="s">
        <v>15</v>
      </c>
      <c r="B3" t="s">
        <v>2493</v>
      </c>
    </row>
    <row r="4" spans="1:2" x14ac:dyDescent="0.25">
      <c r="A4" t="s">
        <v>107</v>
      </c>
      <c r="B4" s="3">
        <v>2765.7892999999999</v>
      </c>
    </row>
    <row r="5" spans="1:2" x14ac:dyDescent="0.25">
      <c r="A5" t="s">
        <v>126</v>
      </c>
      <c r="B5" s="3">
        <v>2960.6219999999998</v>
      </c>
    </row>
    <row r="6" spans="1:2" x14ac:dyDescent="0.25">
      <c r="A6" t="s">
        <v>43</v>
      </c>
      <c r="B6" s="3">
        <v>2624.0257999999999</v>
      </c>
    </row>
    <row r="7" spans="1:2" x14ac:dyDescent="0.25">
      <c r="A7" t="s">
        <v>53</v>
      </c>
      <c r="B7" s="3">
        <v>2948.478000000001</v>
      </c>
    </row>
    <row r="8" spans="1:2" x14ac:dyDescent="0.25">
      <c r="A8" t="s">
        <v>71</v>
      </c>
      <c r="B8" s="3">
        <v>2052.7444000000005</v>
      </c>
    </row>
    <row r="9" spans="1:2" x14ac:dyDescent="0.25">
      <c r="A9" t="s">
        <v>75</v>
      </c>
      <c r="B9" s="3">
        <v>3533.7853000000005</v>
      </c>
    </row>
    <row r="10" spans="1:2" x14ac:dyDescent="0.25">
      <c r="A10" t="s">
        <v>153</v>
      </c>
      <c r="B10" s="3">
        <v>4782.2718999999997</v>
      </c>
    </row>
    <row r="11" spans="1:2" x14ac:dyDescent="0.25">
      <c r="A11" t="s">
        <v>59</v>
      </c>
      <c r="B11" s="3">
        <v>2786.0789000000009</v>
      </c>
    </row>
    <row r="12" spans="1:2" x14ac:dyDescent="0.25">
      <c r="A12" t="s">
        <v>93</v>
      </c>
      <c r="B12" s="3">
        <v>2290.6637999999998</v>
      </c>
    </row>
    <row r="13" spans="1:2" x14ac:dyDescent="0.25">
      <c r="A13" t="s">
        <v>31</v>
      </c>
      <c r="B13" s="3">
        <v>2285.6156000000005</v>
      </c>
    </row>
    <row r="14" spans="1:2" x14ac:dyDescent="0.25">
      <c r="A14" t="s">
        <v>2491</v>
      </c>
      <c r="B14" s="3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32910-0954-4ABA-9F88-BDC5AFA3E62B}">
  <dimension ref="A3:F284"/>
  <sheetViews>
    <sheetView workbookViewId="0">
      <selection activeCell="B3" sqref="B3"/>
    </sheetView>
  </sheetViews>
  <sheetFormatPr defaultRowHeight="15" x14ac:dyDescent="0.25"/>
  <cols>
    <col min="1" max="1" width="14.85546875" bestFit="1" customWidth="1"/>
    <col min="2" max="2" width="16.28515625" bestFit="1" customWidth="1"/>
    <col min="3" max="3" width="9" bestFit="1" customWidth="1"/>
    <col min="4" max="4" width="8" bestFit="1" customWidth="1"/>
    <col min="5" max="5" width="7.28515625" bestFit="1" customWidth="1"/>
    <col min="6" max="6" width="11.28515625" bestFit="1" customWidth="1"/>
  </cols>
  <sheetData>
    <row r="3" spans="1:6" x14ac:dyDescent="0.25">
      <c r="A3" s="2" t="s">
        <v>2490</v>
      </c>
      <c r="B3" s="2" t="s">
        <v>2494</v>
      </c>
    </row>
    <row r="4" spans="1:6" x14ac:dyDescent="0.25">
      <c r="A4" s="2" t="s">
        <v>2489</v>
      </c>
      <c r="B4" t="s">
        <v>73</v>
      </c>
      <c r="C4" t="s">
        <v>24</v>
      </c>
      <c r="D4" t="s">
        <v>55</v>
      </c>
      <c r="E4" t="s">
        <v>2491</v>
      </c>
      <c r="F4" t="s">
        <v>2492</v>
      </c>
    </row>
    <row r="5" spans="1:6" x14ac:dyDescent="0.25">
      <c r="A5" s="4" t="s">
        <v>735</v>
      </c>
      <c r="B5" s="3"/>
      <c r="C5" s="3">
        <v>18.53</v>
      </c>
      <c r="D5" s="3"/>
      <c r="E5" s="3"/>
      <c r="F5" s="3">
        <v>18.53</v>
      </c>
    </row>
    <row r="6" spans="1:6" x14ac:dyDescent="0.25">
      <c r="A6" s="4" t="s">
        <v>326</v>
      </c>
      <c r="B6" s="3">
        <v>66.59</v>
      </c>
      <c r="C6" s="3">
        <v>36.65</v>
      </c>
      <c r="D6" s="3"/>
      <c r="E6" s="3"/>
      <c r="F6" s="3">
        <v>103.24000000000001</v>
      </c>
    </row>
    <row r="7" spans="1:6" x14ac:dyDescent="0.25">
      <c r="A7" s="4" t="s">
        <v>172</v>
      </c>
      <c r="B7" s="3">
        <v>134.43</v>
      </c>
      <c r="C7" s="3"/>
      <c r="D7" s="3">
        <v>35.130000000000003</v>
      </c>
      <c r="E7" s="3"/>
      <c r="F7" s="3">
        <v>169.56</v>
      </c>
    </row>
    <row r="8" spans="1:6" x14ac:dyDescent="0.25">
      <c r="A8" s="4" t="s">
        <v>400</v>
      </c>
      <c r="B8" s="3">
        <v>20.32</v>
      </c>
      <c r="C8" s="3">
        <v>44.87</v>
      </c>
      <c r="D8" s="3">
        <v>72.37</v>
      </c>
      <c r="E8" s="3"/>
      <c r="F8" s="3">
        <v>137.56</v>
      </c>
    </row>
    <row r="9" spans="1:6" x14ac:dyDescent="0.25">
      <c r="A9" s="4" t="s">
        <v>46</v>
      </c>
      <c r="B9" s="3">
        <v>68.3</v>
      </c>
      <c r="C9" s="3"/>
      <c r="D9" s="3"/>
      <c r="E9" s="3"/>
      <c r="F9" s="3">
        <v>68.3</v>
      </c>
    </row>
    <row r="10" spans="1:6" x14ac:dyDescent="0.25">
      <c r="A10" s="4" t="s">
        <v>675</v>
      </c>
      <c r="B10" s="3">
        <v>335.49</v>
      </c>
      <c r="C10" s="3">
        <v>7.65</v>
      </c>
      <c r="D10" s="3"/>
      <c r="E10" s="3"/>
      <c r="F10" s="3">
        <v>343.14</v>
      </c>
    </row>
    <row r="11" spans="1:6" x14ac:dyDescent="0.25">
      <c r="A11" s="4" t="s">
        <v>740</v>
      </c>
      <c r="B11" s="3"/>
      <c r="C11" s="3">
        <v>24.78</v>
      </c>
      <c r="D11" s="3"/>
      <c r="E11" s="3"/>
      <c r="F11" s="3">
        <v>24.78</v>
      </c>
    </row>
    <row r="12" spans="1:6" x14ac:dyDescent="0.25">
      <c r="A12" s="4" t="s">
        <v>491</v>
      </c>
      <c r="B12" s="3">
        <v>106.25999999999999</v>
      </c>
      <c r="C12" s="3">
        <v>44.61</v>
      </c>
      <c r="D12" s="3"/>
      <c r="E12" s="3"/>
      <c r="F12" s="3">
        <v>150.87</v>
      </c>
    </row>
    <row r="13" spans="1:6" x14ac:dyDescent="0.25">
      <c r="A13" s="4" t="s">
        <v>760</v>
      </c>
      <c r="B13" s="3"/>
      <c r="C13" s="3">
        <v>11.33</v>
      </c>
      <c r="D13" s="3">
        <v>1655.27</v>
      </c>
      <c r="E13" s="3"/>
      <c r="F13" s="3">
        <v>1666.6</v>
      </c>
    </row>
    <row r="14" spans="1:6" x14ac:dyDescent="0.25">
      <c r="A14" s="4" t="s">
        <v>346</v>
      </c>
      <c r="B14" s="3"/>
      <c r="C14" s="3">
        <v>180.73</v>
      </c>
      <c r="D14" s="3"/>
      <c r="E14" s="3"/>
      <c r="F14" s="3">
        <v>180.73</v>
      </c>
    </row>
    <row r="15" spans="1:6" x14ac:dyDescent="0.25">
      <c r="A15" s="4" t="s">
        <v>138</v>
      </c>
      <c r="B15" s="3"/>
      <c r="C15" s="3">
        <v>14.85</v>
      </c>
      <c r="D15" s="3"/>
      <c r="E15" s="3"/>
      <c r="F15" s="3">
        <v>14.85</v>
      </c>
    </row>
    <row r="16" spans="1:6" x14ac:dyDescent="0.25">
      <c r="A16" s="4" t="s">
        <v>170</v>
      </c>
      <c r="B16" s="3">
        <v>57.890000000000015</v>
      </c>
      <c r="C16" s="3"/>
      <c r="D16" s="3">
        <v>16.04</v>
      </c>
      <c r="E16" s="3"/>
      <c r="F16" s="3">
        <v>73.930000000000007</v>
      </c>
    </row>
    <row r="17" spans="1:6" x14ac:dyDescent="0.25">
      <c r="A17" s="4" t="s">
        <v>516</v>
      </c>
      <c r="B17" s="3">
        <v>48.18</v>
      </c>
      <c r="C17" s="3">
        <v>36.130000000000003</v>
      </c>
      <c r="D17" s="3">
        <v>65.069999999999993</v>
      </c>
      <c r="E17" s="3"/>
      <c r="F17" s="3">
        <v>149.38</v>
      </c>
    </row>
    <row r="18" spans="1:6" x14ac:dyDescent="0.25">
      <c r="A18" s="4" t="s">
        <v>1706</v>
      </c>
      <c r="B18" s="3"/>
      <c r="C18" s="3">
        <v>67</v>
      </c>
      <c r="D18" s="3"/>
      <c r="E18" s="3"/>
      <c r="F18" s="3">
        <v>67</v>
      </c>
    </row>
    <row r="19" spans="1:6" x14ac:dyDescent="0.25">
      <c r="A19" s="4" t="s">
        <v>334</v>
      </c>
      <c r="B19" s="3">
        <v>12.79</v>
      </c>
      <c r="C19" s="3">
        <v>92.57</v>
      </c>
      <c r="D19" s="3"/>
      <c r="E19" s="3"/>
      <c r="F19" s="3">
        <v>105.35999999999999</v>
      </c>
    </row>
    <row r="20" spans="1:6" x14ac:dyDescent="0.25">
      <c r="A20" s="4" t="s">
        <v>742</v>
      </c>
      <c r="B20" s="3">
        <v>106.8</v>
      </c>
      <c r="C20" s="3"/>
      <c r="D20" s="3">
        <v>33</v>
      </c>
      <c r="E20" s="3"/>
      <c r="F20" s="3">
        <v>139.80000000000001</v>
      </c>
    </row>
    <row r="21" spans="1:6" x14ac:dyDescent="0.25">
      <c r="A21" s="4" t="s">
        <v>331</v>
      </c>
      <c r="B21" s="3">
        <v>21.02</v>
      </c>
      <c r="C21" s="3"/>
      <c r="D21" s="3"/>
      <c r="E21" s="3"/>
      <c r="F21" s="3">
        <v>21.02</v>
      </c>
    </row>
    <row r="22" spans="1:6" x14ac:dyDescent="0.25">
      <c r="A22" s="4" t="s">
        <v>130</v>
      </c>
      <c r="B22" s="3">
        <v>406.08</v>
      </c>
      <c r="C22" s="3">
        <v>15.33</v>
      </c>
      <c r="D22" s="3"/>
      <c r="E22" s="3"/>
      <c r="F22" s="3">
        <v>421.40999999999997</v>
      </c>
    </row>
    <row r="23" spans="1:6" x14ac:dyDescent="0.25">
      <c r="A23" s="4" t="s">
        <v>193</v>
      </c>
      <c r="B23" s="3">
        <v>95.99</v>
      </c>
      <c r="C23" s="3">
        <v>56.95</v>
      </c>
      <c r="D23" s="3"/>
      <c r="E23" s="3"/>
      <c r="F23" s="3">
        <v>152.94</v>
      </c>
    </row>
    <row r="24" spans="1:6" x14ac:dyDescent="0.25">
      <c r="A24" s="4" t="s">
        <v>579</v>
      </c>
      <c r="B24" s="3"/>
      <c r="C24" s="3">
        <v>22.52</v>
      </c>
      <c r="D24" s="3"/>
      <c r="E24" s="3"/>
      <c r="F24" s="3">
        <v>22.52</v>
      </c>
    </row>
    <row r="25" spans="1:6" x14ac:dyDescent="0.25">
      <c r="A25" s="4" t="s">
        <v>581</v>
      </c>
      <c r="B25" s="3"/>
      <c r="C25" s="3">
        <v>42.74</v>
      </c>
      <c r="D25" s="3">
        <v>31.52</v>
      </c>
      <c r="E25" s="3"/>
      <c r="F25" s="3">
        <v>74.260000000000005</v>
      </c>
    </row>
    <row r="26" spans="1:6" x14ac:dyDescent="0.25">
      <c r="A26" s="4" t="s">
        <v>786</v>
      </c>
      <c r="B26" s="3">
        <v>41.17</v>
      </c>
      <c r="C26" s="3">
        <v>31.82</v>
      </c>
      <c r="D26" s="3"/>
      <c r="E26" s="3"/>
      <c r="F26" s="3">
        <v>72.990000000000009</v>
      </c>
    </row>
    <row r="27" spans="1:6" x14ac:dyDescent="0.25">
      <c r="A27" s="4" t="s">
        <v>1002</v>
      </c>
      <c r="B27" s="3"/>
      <c r="C27" s="3">
        <v>246.07</v>
      </c>
      <c r="D27" s="3"/>
      <c r="E27" s="3"/>
      <c r="F27" s="3">
        <v>246.07</v>
      </c>
    </row>
    <row r="28" spans="1:6" x14ac:dyDescent="0.25">
      <c r="A28" s="4" t="s">
        <v>490</v>
      </c>
      <c r="B28" s="3">
        <v>-39.4</v>
      </c>
      <c r="C28" s="3"/>
      <c r="D28" s="3"/>
      <c r="E28" s="3"/>
      <c r="F28" s="3">
        <v>-39.4</v>
      </c>
    </row>
    <row r="29" spans="1:6" x14ac:dyDescent="0.25">
      <c r="A29" s="4" t="s">
        <v>704</v>
      </c>
      <c r="B29" s="3">
        <v>16.95</v>
      </c>
      <c r="C29" s="3"/>
      <c r="D29" s="3"/>
      <c r="E29" s="3"/>
      <c r="F29" s="3">
        <v>16.95</v>
      </c>
    </row>
    <row r="30" spans="1:6" x14ac:dyDescent="0.25">
      <c r="A30" s="4" t="s">
        <v>724</v>
      </c>
      <c r="B30" s="3">
        <v>24.05</v>
      </c>
      <c r="C30" s="3">
        <v>37.42</v>
      </c>
      <c r="D30" s="3">
        <v>218.87</v>
      </c>
      <c r="E30" s="3"/>
      <c r="F30" s="3">
        <v>280.34000000000003</v>
      </c>
    </row>
    <row r="31" spans="1:6" x14ac:dyDescent="0.25">
      <c r="A31" s="4" t="s">
        <v>2110</v>
      </c>
      <c r="B31" s="3">
        <v>60.74</v>
      </c>
      <c r="C31" s="3"/>
      <c r="D31" s="3"/>
      <c r="E31" s="3"/>
      <c r="F31" s="3">
        <v>60.74</v>
      </c>
    </row>
    <row r="32" spans="1:6" x14ac:dyDescent="0.25">
      <c r="A32" s="4" t="s">
        <v>864</v>
      </c>
      <c r="B32" s="3"/>
      <c r="C32" s="3">
        <v>57.73</v>
      </c>
      <c r="D32" s="3"/>
      <c r="E32" s="3"/>
      <c r="F32" s="3">
        <v>57.73</v>
      </c>
    </row>
    <row r="33" spans="1:6" x14ac:dyDescent="0.25">
      <c r="A33" s="4" t="s">
        <v>2225</v>
      </c>
      <c r="B33" s="3"/>
      <c r="C33" s="3">
        <v>40.909999999999997</v>
      </c>
      <c r="D33" s="3"/>
      <c r="E33" s="3"/>
      <c r="F33" s="3">
        <v>40.909999999999997</v>
      </c>
    </row>
    <row r="34" spans="1:6" x14ac:dyDescent="0.25">
      <c r="A34" s="4" t="s">
        <v>445</v>
      </c>
      <c r="B34" s="3">
        <v>10</v>
      </c>
      <c r="C34" s="3">
        <v>44.27</v>
      </c>
      <c r="D34" s="3"/>
      <c r="E34" s="3"/>
      <c r="F34" s="3">
        <v>54.27</v>
      </c>
    </row>
    <row r="35" spans="1:6" x14ac:dyDescent="0.25">
      <c r="A35" s="4" t="s">
        <v>810</v>
      </c>
      <c r="B35" s="3"/>
      <c r="C35" s="3"/>
      <c r="D35" s="3">
        <v>172.41</v>
      </c>
      <c r="E35" s="3"/>
      <c r="F35" s="3">
        <v>172.41</v>
      </c>
    </row>
    <row r="36" spans="1:6" x14ac:dyDescent="0.25">
      <c r="A36" s="4" t="s">
        <v>402</v>
      </c>
      <c r="B36" s="3"/>
      <c r="C36" s="3">
        <v>90.68</v>
      </c>
      <c r="D36" s="3">
        <v>67.11</v>
      </c>
      <c r="E36" s="3"/>
      <c r="F36" s="3">
        <v>157.79000000000002</v>
      </c>
    </row>
    <row r="37" spans="1:6" x14ac:dyDescent="0.25">
      <c r="A37" s="4" t="s">
        <v>553</v>
      </c>
      <c r="B37" s="3"/>
      <c r="C37" s="3">
        <v>49.68</v>
      </c>
      <c r="D37" s="3"/>
      <c r="E37" s="3"/>
      <c r="F37" s="3">
        <v>49.68</v>
      </c>
    </row>
    <row r="38" spans="1:6" x14ac:dyDescent="0.25">
      <c r="A38" s="4" t="s">
        <v>596</v>
      </c>
      <c r="B38" s="3"/>
      <c r="C38" s="3">
        <v>1.29</v>
      </c>
      <c r="D38" s="3"/>
      <c r="E38" s="3"/>
      <c r="F38" s="3">
        <v>1.29</v>
      </c>
    </row>
    <row r="39" spans="1:6" x14ac:dyDescent="0.25">
      <c r="A39" s="4" t="s">
        <v>1230</v>
      </c>
      <c r="B39" s="3"/>
      <c r="C39" s="3"/>
      <c r="D39" s="3">
        <v>65.83</v>
      </c>
      <c r="E39" s="3"/>
      <c r="F39" s="3">
        <v>65.83</v>
      </c>
    </row>
    <row r="40" spans="1:6" x14ac:dyDescent="0.25">
      <c r="A40" s="4" t="s">
        <v>536</v>
      </c>
      <c r="B40" s="3">
        <v>462.77</v>
      </c>
      <c r="C40" s="3"/>
      <c r="D40" s="3"/>
      <c r="E40" s="3"/>
      <c r="F40" s="3">
        <v>462.77</v>
      </c>
    </row>
    <row r="41" spans="1:6" x14ac:dyDescent="0.25">
      <c r="A41" s="4" t="s">
        <v>405</v>
      </c>
      <c r="B41" s="3"/>
      <c r="C41" s="3">
        <v>42.85</v>
      </c>
      <c r="D41" s="3"/>
      <c r="E41" s="3"/>
      <c r="F41" s="3">
        <v>42.85</v>
      </c>
    </row>
    <row r="42" spans="1:6" x14ac:dyDescent="0.25">
      <c r="A42" s="4" t="s">
        <v>999</v>
      </c>
      <c r="B42" s="3">
        <v>85.830000000000013</v>
      </c>
      <c r="C42" s="3">
        <v>59.35</v>
      </c>
      <c r="D42" s="3">
        <v>72.09</v>
      </c>
      <c r="E42" s="3"/>
      <c r="F42" s="3">
        <v>217.27</v>
      </c>
    </row>
    <row r="43" spans="1:6" x14ac:dyDescent="0.25">
      <c r="A43" s="4" t="s">
        <v>582</v>
      </c>
      <c r="B43" s="3"/>
      <c r="C43" s="3">
        <v>200.72000000000003</v>
      </c>
      <c r="D43" s="3"/>
      <c r="E43" s="3"/>
      <c r="F43" s="3">
        <v>200.72000000000003</v>
      </c>
    </row>
    <row r="44" spans="1:6" x14ac:dyDescent="0.25">
      <c r="A44" s="4" t="s">
        <v>289</v>
      </c>
      <c r="B44" s="3">
        <v>-88.34</v>
      </c>
      <c r="C44" s="3">
        <v>273.03000000000003</v>
      </c>
      <c r="D44" s="3"/>
      <c r="E44" s="3"/>
      <c r="F44" s="3">
        <v>184.69000000000003</v>
      </c>
    </row>
    <row r="45" spans="1:6" x14ac:dyDescent="0.25">
      <c r="A45" s="4" t="s">
        <v>23</v>
      </c>
      <c r="B45" s="3"/>
      <c r="C45" s="3">
        <v>13.16</v>
      </c>
      <c r="D45" s="3">
        <v>15.19</v>
      </c>
      <c r="E45" s="3"/>
      <c r="F45" s="3">
        <v>28.35</v>
      </c>
    </row>
    <row r="46" spans="1:6" x14ac:dyDescent="0.25">
      <c r="A46" s="4" t="s">
        <v>1097</v>
      </c>
      <c r="B46" s="3">
        <v>42.82</v>
      </c>
      <c r="C46" s="3">
        <v>79.040000000000006</v>
      </c>
      <c r="D46" s="3"/>
      <c r="E46" s="3"/>
      <c r="F46" s="3">
        <v>121.86000000000001</v>
      </c>
    </row>
    <row r="47" spans="1:6" x14ac:dyDescent="0.25">
      <c r="A47" s="4" t="s">
        <v>688</v>
      </c>
      <c r="B47" s="3">
        <v>5.07</v>
      </c>
      <c r="C47" s="3"/>
      <c r="D47" s="3"/>
      <c r="E47" s="3"/>
      <c r="F47" s="3">
        <v>5.07</v>
      </c>
    </row>
    <row r="48" spans="1:6" x14ac:dyDescent="0.25">
      <c r="A48" s="4" t="s">
        <v>110</v>
      </c>
      <c r="B48" s="3">
        <v>62.56</v>
      </c>
      <c r="C48" s="3">
        <v>16.079999999999998</v>
      </c>
      <c r="D48" s="3"/>
      <c r="E48" s="3"/>
      <c r="F48" s="3">
        <v>78.64</v>
      </c>
    </row>
    <row r="49" spans="1:6" x14ac:dyDescent="0.25">
      <c r="A49" s="4" t="s">
        <v>231</v>
      </c>
      <c r="B49" s="3">
        <v>205.26999999999998</v>
      </c>
      <c r="C49" s="3">
        <v>7.94</v>
      </c>
      <c r="D49" s="3">
        <v>23.53</v>
      </c>
      <c r="E49" s="3"/>
      <c r="F49" s="3">
        <v>236.73999999999998</v>
      </c>
    </row>
    <row r="50" spans="1:6" x14ac:dyDescent="0.25">
      <c r="A50" s="4" t="s">
        <v>622</v>
      </c>
      <c r="B50" s="3"/>
      <c r="C50" s="3"/>
      <c r="D50" s="3">
        <v>13.82</v>
      </c>
      <c r="E50" s="3"/>
      <c r="F50" s="3">
        <v>13.82</v>
      </c>
    </row>
    <row r="51" spans="1:6" x14ac:dyDescent="0.25">
      <c r="A51" s="4" t="s">
        <v>535</v>
      </c>
      <c r="B51" s="3">
        <v>66.63</v>
      </c>
      <c r="C51" s="3">
        <v>14.14</v>
      </c>
      <c r="D51" s="3"/>
      <c r="E51" s="3"/>
      <c r="F51" s="3">
        <v>80.77</v>
      </c>
    </row>
    <row r="52" spans="1:6" x14ac:dyDescent="0.25">
      <c r="A52" s="4" t="s">
        <v>303</v>
      </c>
      <c r="B52" s="3"/>
      <c r="C52" s="3">
        <v>9.08</v>
      </c>
      <c r="D52" s="3">
        <v>44.87</v>
      </c>
      <c r="E52" s="3"/>
      <c r="F52" s="3">
        <v>53.949999999999996</v>
      </c>
    </row>
    <row r="53" spans="1:6" x14ac:dyDescent="0.25">
      <c r="A53" s="4" t="s">
        <v>368</v>
      </c>
      <c r="B53" s="3">
        <v>44.15</v>
      </c>
      <c r="C53" s="3">
        <v>70.97</v>
      </c>
      <c r="D53" s="3"/>
      <c r="E53" s="3"/>
      <c r="F53" s="3">
        <v>115.12</v>
      </c>
    </row>
    <row r="54" spans="1:6" x14ac:dyDescent="0.25">
      <c r="A54" s="4" t="s">
        <v>989</v>
      </c>
      <c r="B54" s="3"/>
      <c r="C54" s="3">
        <v>94.289999999999992</v>
      </c>
      <c r="D54" s="3">
        <v>64.260000000000005</v>
      </c>
      <c r="E54" s="3"/>
      <c r="F54" s="3">
        <v>158.55000000000001</v>
      </c>
    </row>
    <row r="55" spans="1:6" x14ac:dyDescent="0.25">
      <c r="A55" s="4" t="s">
        <v>612</v>
      </c>
      <c r="B55" s="3"/>
      <c r="C55" s="3"/>
      <c r="D55" s="3">
        <v>9.48</v>
      </c>
      <c r="E55" s="3"/>
      <c r="F55" s="3">
        <v>9.48</v>
      </c>
    </row>
    <row r="56" spans="1:6" x14ac:dyDescent="0.25">
      <c r="A56" s="4" t="s">
        <v>146</v>
      </c>
      <c r="B56" s="3">
        <v>208.54</v>
      </c>
      <c r="C56" s="3"/>
      <c r="D56" s="3"/>
      <c r="E56" s="3"/>
      <c r="F56" s="3">
        <v>208.54</v>
      </c>
    </row>
    <row r="57" spans="1:6" x14ac:dyDescent="0.25">
      <c r="A57" s="4" t="s">
        <v>203</v>
      </c>
      <c r="B57" s="3"/>
      <c r="C57" s="3">
        <v>8.1199999999999992</v>
      </c>
      <c r="D57" s="3"/>
      <c r="E57" s="3"/>
      <c r="F57" s="3">
        <v>8.1199999999999992</v>
      </c>
    </row>
    <row r="58" spans="1:6" x14ac:dyDescent="0.25">
      <c r="A58" s="4" t="s">
        <v>180</v>
      </c>
      <c r="B58" s="3"/>
      <c r="C58" s="3">
        <v>31.51</v>
      </c>
      <c r="D58" s="3"/>
      <c r="E58" s="3"/>
      <c r="F58" s="3">
        <v>31.51</v>
      </c>
    </row>
    <row r="59" spans="1:6" x14ac:dyDescent="0.25">
      <c r="A59" s="4" t="s">
        <v>158</v>
      </c>
      <c r="B59" s="3">
        <v>28.84</v>
      </c>
      <c r="C59" s="3">
        <v>28.84</v>
      </c>
      <c r="D59" s="3"/>
      <c r="E59" s="3"/>
      <c r="F59" s="3">
        <v>57.68</v>
      </c>
    </row>
    <row r="60" spans="1:6" x14ac:dyDescent="0.25">
      <c r="A60" s="4" t="s">
        <v>543</v>
      </c>
      <c r="B60" s="3">
        <v>7.93</v>
      </c>
      <c r="C60" s="3">
        <v>28.18</v>
      </c>
      <c r="D60" s="3"/>
      <c r="E60" s="3"/>
      <c r="F60" s="3">
        <v>36.11</v>
      </c>
    </row>
    <row r="61" spans="1:6" x14ac:dyDescent="0.25">
      <c r="A61" s="4" t="s">
        <v>95</v>
      </c>
      <c r="B61" s="3"/>
      <c r="C61" s="3">
        <v>54.05</v>
      </c>
      <c r="D61" s="3"/>
      <c r="E61" s="3"/>
      <c r="F61" s="3">
        <v>54.05</v>
      </c>
    </row>
    <row r="62" spans="1:6" x14ac:dyDescent="0.25">
      <c r="A62" s="4" t="s">
        <v>123</v>
      </c>
      <c r="B62" s="3">
        <v>107.69</v>
      </c>
      <c r="C62" s="3">
        <v>111.97</v>
      </c>
      <c r="D62" s="3"/>
      <c r="E62" s="3"/>
      <c r="F62" s="3">
        <v>219.66</v>
      </c>
    </row>
    <row r="63" spans="1:6" x14ac:dyDescent="0.25">
      <c r="A63" s="4" t="s">
        <v>509</v>
      </c>
      <c r="B63" s="3">
        <v>140.87</v>
      </c>
      <c r="C63" s="3">
        <v>8.5399999999999991</v>
      </c>
      <c r="D63" s="3"/>
      <c r="E63" s="3"/>
      <c r="F63" s="3">
        <v>149.41</v>
      </c>
    </row>
    <row r="64" spans="1:6" x14ac:dyDescent="0.25">
      <c r="A64" s="4" t="s">
        <v>471</v>
      </c>
      <c r="B64" s="3">
        <v>-107.34</v>
      </c>
      <c r="C64" s="3">
        <v>118.39</v>
      </c>
      <c r="D64" s="3"/>
      <c r="E64" s="3"/>
      <c r="F64" s="3">
        <v>11.049999999999997</v>
      </c>
    </row>
    <row r="65" spans="1:6" x14ac:dyDescent="0.25">
      <c r="A65" s="4" t="s">
        <v>72</v>
      </c>
      <c r="B65" s="3">
        <v>177.92</v>
      </c>
      <c r="C65" s="3">
        <v>138.41999999999999</v>
      </c>
      <c r="D65" s="3"/>
      <c r="E65" s="3"/>
      <c r="F65" s="3">
        <v>316.33999999999997</v>
      </c>
    </row>
    <row r="66" spans="1:6" x14ac:dyDescent="0.25">
      <c r="A66" s="4" t="s">
        <v>160</v>
      </c>
      <c r="B66" s="3">
        <v>-5.8700000000000045</v>
      </c>
      <c r="C66" s="3"/>
      <c r="D66" s="3"/>
      <c r="E66" s="3"/>
      <c r="F66" s="3">
        <v>-5.8700000000000045</v>
      </c>
    </row>
    <row r="67" spans="1:6" x14ac:dyDescent="0.25">
      <c r="A67" s="4" t="s">
        <v>306</v>
      </c>
      <c r="B67" s="3">
        <v>27.76</v>
      </c>
      <c r="C67" s="3">
        <v>27.15</v>
      </c>
      <c r="D67" s="3"/>
      <c r="E67" s="3"/>
      <c r="F67" s="3">
        <v>54.91</v>
      </c>
    </row>
    <row r="68" spans="1:6" x14ac:dyDescent="0.25">
      <c r="A68" s="4" t="s">
        <v>37</v>
      </c>
      <c r="B68" s="3">
        <v>3.47</v>
      </c>
      <c r="C68" s="3">
        <v>185.75</v>
      </c>
      <c r="D68" s="3">
        <v>18.93</v>
      </c>
      <c r="E68" s="3">
        <v>149.38</v>
      </c>
      <c r="F68" s="3">
        <v>357.53</v>
      </c>
    </row>
    <row r="69" spans="1:6" x14ac:dyDescent="0.25">
      <c r="A69" s="4" t="s">
        <v>263</v>
      </c>
      <c r="B69" s="3"/>
      <c r="C69" s="3"/>
      <c r="D69" s="3">
        <v>50.91</v>
      </c>
      <c r="E69" s="3"/>
      <c r="F69" s="3">
        <v>50.91</v>
      </c>
    </row>
    <row r="70" spans="1:6" x14ac:dyDescent="0.25">
      <c r="A70" s="4" t="s">
        <v>149</v>
      </c>
      <c r="B70" s="3">
        <v>5.95</v>
      </c>
      <c r="C70" s="3"/>
      <c r="D70" s="3"/>
      <c r="E70" s="3"/>
      <c r="F70" s="3">
        <v>5.95</v>
      </c>
    </row>
    <row r="71" spans="1:6" x14ac:dyDescent="0.25">
      <c r="A71" s="4" t="s">
        <v>462</v>
      </c>
      <c r="B71" s="3">
        <v>12.95</v>
      </c>
      <c r="C71" s="3">
        <v>79.81</v>
      </c>
      <c r="D71" s="3">
        <v>74.42</v>
      </c>
      <c r="E71" s="3"/>
      <c r="F71" s="3">
        <v>167.18</v>
      </c>
    </row>
    <row r="72" spans="1:6" x14ac:dyDescent="0.25">
      <c r="A72" s="4" t="s">
        <v>284</v>
      </c>
      <c r="B72" s="3">
        <v>10.31</v>
      </c>
      <c r="C72" s="3">
        <v>116.53999999999999</v>
      </c>
      <c r="D72" s="3">
        <v>140.19999999999999</v>
      </c>
      <c r="E72" s="3"/>
      <c r="F72" s="3">
        <v>267.04999999999995</v>
      </c>
    </row>
    <row r="73" spans="1:6" x14ac:dyDescent="0.25">
      <c r="A73" s="4" t="s">
        <v>653</v>
      </c>
      <c r="B73" s="3"/>
      <c r="C73" s="3">
        <v>64.19</v>
      </c>
      <c r="D73" s="3"/>
      <c r="E73" s="3"/>
      <c r="F73" s="3">
        <v>64.19</v>
      </c>
    </row>
    <row r="74" spans="1:6" x14ac:dyDescent="0.25">
      <c r="A74" s="4" t="s">
        <v>1792</v>
      </c>
      <c r="B74" s="3"/>
      <c r="C74" s="3">
        <v>3.5</v>
      </c>
      <c r="D74" s="3"/>
      <c r="E74" s="3"/>
      <c r="F74" s="3">
        <v>3.5</v>
      </c>
    </row>
    <row r="75" spans="1:6" x14ac:dyDescent="0.25">
      <c r="A75" s="4" t="s">
        <v>456</v>
      </c>
      <c r="B75" s="3"/>
      <c r="C75" s="3">
        <v>134.38999999999999</v>
      </c>
      <c r="D75" s="3"/>
      <c r="E75" s="3"/>
      <c r="F75" s="3">
        <v>134.38999999999999</v>
      </c>
    </row>
    <row r="76" spans="1:6" x14ac:dyDescent="0.25">
      <c r="A76" s="4" t="s">
        <v>258</v>
      </c>
      <c r="B76" s="3">
        <v>169.49</v>
      </c>
      <c r="C76" s="3"/>
      <c r="D76" s="3"/>
      <c r="E76" s="3"/>
      <c r="F76" s="3">
        <v>169.49</v>
      </c>
    </row>
    <row r="77" spans="1:6" x14ac:dyDescent="0.25">
      <c r="A77" s="4" t="s">
        <v>332</v>
      </c>
      <c r="B77" s="3"/>
      <c r="C77" s="3">
        <v>115.38</v>
      </c>
      <c r="D77" s="3"/>
      <c r="E77" s="3"/>
      <c r="F77" s="3">
        <v>115.38</v>
      </c>
    </row>
    <row r="78" spans="1:6" x14ac:dyDescent="0.25">
      <c r="A78" s="4" t="s">
        <v>830</v>
      </c>
      <c r="B78" s="3">
        <v>6.14</v>
      </c>
      <c r="C78" s="3">
        <v>45.84</v>
      </c>
      <c r="D78" s="3"/>
      <c r="E78" s="3"/>
      <c r="F78" s="3">
        <v>51.980000000000004</v>
      </c>
    </row>
    <row r="79" spans="1:6" x14ac:dyDescent="0.25">
      <c r="A79" s="4" t="s">
        <v>377</v>
      </c>
      <c r="B79" s="3">
        <v>22.3</v>
      </c>
      <c r="C79" s="3">
        <v>19.79</v>
      </c>
      <c r="D79" s="3"/>
      <c r="E79" s="3"/>
      <c r="F79" s="3">
        <v>42.09</v>
      </c>
    </row>
    <row r="80" spans="1:6" x14ac:dyDescent="0.25">
      <c r="A80" s="4" t="s">
        <v>436</v>
      </c>
      <c r="B80" s="3"/>
      <c r="C80" s="3">
        <v>67.67</v>
      </c>
      <c r="D80" s="3">
        <v>27.01</v>
      </c>
      <c r="E80" s="3"/>
      <c r="F80" s="3">
        <v>94.68</v>
      </c>
    </row>
    <row r="81" spans="1:6" x14ac:dyDescent="0.25">
      <c r="A81" s="4" t="s">
        <v>299</v>
      </c>
      <c r="B81" s="3">
        <v>56.78</v>
      </c>
      <c r="C81" s="3">
        <v>-182.52</v>
      </c>
      <c r="D81" s="3">
        <v>41.64</v>
      </c>
      <c r="E81" s="3"/>
      <c r="F81" s="3">
        <v>-84.100000000000009</v>
      </c>
    </row>
    <row r="82" spans="1:6" x14ac:dyDescent="0.25">
      <c r="A82" s="4" t="s">
        <v>404</v>
      </c>
      <c r="B82" s="3"/>
      <c r="C82" s="3">
        <v>399.54</v>
      </c>
      <c r="D82" s="3">
        <v>127.64</v>
      </c>
      <c r="E82" s="3"/>
      <c r="F82" s="3">
        <v>527.18000000000006</v>
      </c>
    </row>
    <row r="83" spans="1:6" x14ac:dyDescent="0.25">
      <c r="A83" s="4" t="s">
        <v>835</v>
      </c>
      <c r="B83" s="3">
        <v>104.38</v>
      </c>
      <c r="C83" s="3">
        <v>44.73</v>
      </c>
      <c r="D83" s="3"/>
      <c r="E83" s="3"/>
      <c r="F83" s="3">
        <v>149.10999999999999</v>
      </c>
    </row>
    <row r="84" spans="1:6" x14ac:dyDescent="0.25">
      <c r="A84" s="4" t="s">
        <v>629</v>
      </c>
      <c r="B84" s="3"/>
      <c r="C84" s="3">
        <v>88.240000000000009</v>
      </c>
      <c r="D84" s="3"/>
      <c r="E84" s="3"/>
      <c r="F84" s="3">
        <v>88.240000000000009</v>
      </c>
    </row>
    <row r="85" spans="1:6" x14ac:dyDescent="0.25">
      <c r="A85" s="4" t="s">
        <v>360</v>
      </c>
      <c r="B85" s="3">
        <v>32.68</v>
      </c>
      <c r="C85" s="3"/>
      <c r="D85" s="3"/>
      <c r="E85" s="3"/>
      <c r="F85" s="3">
        <v>32.68</v>
      </c>
    </row>
    <row r="86" spans="1:6" x14ac:dyDescent="0.25">
      <c r="A86" s="4" t="s">
        <v>386</v>
      </c>
      <c r="B86" s="3">
        <v>242.73000000000002</v>
      </c>
      <c r="C86" s="3"/>
      <c r="D86" s="3">
        <v>20.74</v>
      </c>
      <c r="E86" s="3"/>
      <c r="F86" s="3">
        <v>263.47000000000003</v>
      </c>
    </row>
    <row r="87" spans="1:6" x14ac:dyDescent="0.25">
      <c r="A87" s="4" t="s">
        <v>143</v>
      </c>
      <c r="B87" s="3">
        <v>125.94</v>
      </c>
      <c r="C87" s="3">
        <v>-14.290000000000003</v>
      </c>
      <c r="D87" s="3"/>
      <c r="E87" s="3"/>
      <c r="F87" s="3">
        <v>111.64999999999999</v>
      </c>
    </row>
    <row r="88" spans="1:6" x14ac:dyDescent="0.25">
      <c r="A88" s="4" t="s">
        <v>439</v>
      </c>
      <c r="B88" s="3"/>
      <c r="C88" s="3">
        <v>5.93</v>
      </c>
      <c r="D88" s="3"/>
      <c r="E88" s="3"/>
      <c r="F88" s="3">
        <v>5.93</v>
      </c>
    </row>
    <row r="89" spans="1:6" x14ac:dyDescent="0.25">
      <c r="A89" s="4" t="s">
        <v>245</v>
      </c>
      <c r="B89" s="3">
        <v>230.14</v>
      </c>
      <c r="C89" s="3">
        <v>37.85</v>
      </c>
      <c r="D89" s="3"/>
      <c r="E89" s="3"/>
      <c r="F89" s="3">
        <v>267.99</v>
      </c>
    </row>
    <row r="90" spans="1:6" x14ac:dyDescent="0.25">
      <c r="A90" s="4" t="s">
        <v>574</v>
      </c>
      <c r="B90" s="3">
        <v>100.1</v>
      </c>
      <c r="C90" s="3">
        <v>1332.29</v>
      </c>
      <c r="D90" s="3"/>
      <c r="E90" s="3"/>
      <c r="F90" s="3">
        <v>1432.3899999999999</v>
      </c>
    </row>
    <row r="91" spans="1:6" x14ac:dyDescent="0.25">
      <c r="A91" s="4" t="s">
        <v>242</v>
      </c>
      <c r="B91" s="3"/>
      <c r="C91" s="3">
        <v>28.98</v>
      </c>
      <c r="D91" s="3"/>
      <c r="E91" s="3"/>
      <c r="F91" s="3">
        <v>28.98</v>
      </c>
    </row>
    <row r="92" spans="1:6" x14ac:dyDescent="0.25">
      <c r="A92" s="4" t="s">
        <v>208</v>
      </c>
      <c r="B92" s="3">
        <v>64.53</v>
      </c>
      <c r="C92" s="3">
        <v>162.38000000000002</v>
      </c>
      <c r="D92" s="3"/>
      <c r="E92" s="3"/>
      <c r="F92" s="3">
        <v>226.91000000000003</v>
      </c>
    </row>
    <row r="93" spans="1:6" x14ac:dyDescent="0.25">
      <c r="A93" s="4" t="s">
        <v>495</v>
      </c>
      <c r="B93" s="3">
        <v>72.44</v>
      </c>
      <c r="C93" s="3">
        <v>257.94</v>
      </c>
      <c r="D93" s="3"/>
      <c r="E93" s="3"/>
      <c r="F93" s="3">
        <v>330.38</v>
      </c>
    </row>
    <row r="94" spans="1:6" x14ac:dyDescent="0.25">
      <c r="A94" s="4" t="s">
        <v>308</v>
      </c>
      <c r="B94" s="3">
        <v>45.46</v>
      </c>
      <c r="C94" s="3">
        <v>-220.67</v>
      </c>
      <c r="D94" s="3"/>
      <c r="E94" s="3"/>
      <c r="F94" s="3">
        <v>-175.20999999999998</v>
      </c>
    </row>
    <row r="95" spans="1:6" x14ac:dyDescent="0.25">
      <c r="A95" s="4" t="s">
        <v>540</v>
      </c>
      <c r="B95" s="3">
        <v>23.05</v>
      </c>
      <c r="C95" s="3"/>
      <c r="D95" s="3"/>
      <c r="E95" s="3"/>
      <c r="F95" s="3">
        <v>23.05</v>
      </c>
    </row>
    <row r="96" spans="1:6" x14ac:dyDescent="0.25">
      <c r="A96" s="4" t="s">
        <v>460</v>
      </c>
      <c r="B96" s="3">
        <v>16.420000000000002</v>
      </c>
      <c r="C96" s="3">
        <v>44.61</v>
      </c>
      <c r="D96" s="3"/>
      <c r="E96" s="3"/>
      <c r="F96" s="3">
        <v>61.03</v>
      </c>
    </row>
    <row r="97" spans="1:6" x14ac:dyDescent="0.25">
      <c r="A97" s="4" t="s">
        <v>541</v>
      </c>
      <c r="B97" s="3">
        <v>99.63</v>
      </c>
      <c r="C97" s="3">
        <v>243.17</v>
      </c>
      <c r="D97" s="3"/>
      <c r="E97" s="3"/>
      <c r="F97" s="3">
        <v>342.79999999999995</v>
      </c>
    </row>
    <row r="98" spans="1:6" x14ac:dyDescent="0.25">
      <c r="A98" s="4" t="s">
        <v>432</v>
      </c>
      <c r="B98" s="3">
        <v>30.91</v>
      </c>
      <c r="C98" s="3">
        <v>27.76</v>
      </c>
      <c r="D98" s="3">
        <v>-12.63</v>
      </c>
      <c r="E98" s="3"/>
      <c r="F98" s="3">
        <v>46.04</v>
      </c>
    </row>
    <row r="99" spans="1:6" x14ac:dyDescent="0.25">
      <c r="A99" s="4" t="s">
        <v>683</v>
      </c>
      <c r="B99" s="3"/>
      <c r="C99" s="3">
        <v>99.97999999999999</v>
      </c>
      <c r="D99" s="3"/>
      <c r="E99" s="3"/>
      <c r="F99" s="3">
        <v>99.97999999999999</v>
      </c>
    </row>
    <row r="100" spans="1:6" x14ac:dyDescent="0.25">
      <c r="A100" s="4" t="s">
        <v>464</v>
      </c>
      <c r="B100" s="3">
        <v>19.13</v>
      </c>
      <c r="C100" s="3">
        <v>55.629999999999995</v>
      </c>
      <c r="D100" s="3"/>
      <c r="E100" s="3"/>
      <c r="F100" s="3">
        <v>74.759999999999991</v>
      </c>
    </row>
    <row r="101" spans="1:6" x14ac:dyDescent="0.25">
      <c r="A101" s="4" t="s">
        <v>1371</v>
      </c>
      <c r="B101" s="3">
        <v>14.73</v>
      </c>
      <c r="C101" s="3"/>
      <c r="D101" s="3"/>
      <c r="E101" s="3"/>
      <c r="F101" s="3">
        <v>14.73</v>
      </c>
    </row>
    <row r="102" spans="1:6" x14ac:dyDescent="0.25">
      <c r="A102" s="4" t="s">
        <v>1094</v>
      </c>
      <c r="B102" s="3">
        <v>101.78</v>
      </c>
      <c r="C102" s="3"/>
      <c r="D102" s="3"/>
      <c r="E102" s="3"/>
      <c r="F102" s="3">
        <v>101.78</v>
      </c>
    </row>
    <row r="103" spans="1:6" x14ac:dyDescent="0.25">
      <c r="A103" s="4" t="s">
        <v>101</v>
      </c>
      <c r="B103" s="3">
        <v>-7.87</v>
      </c>
      <c r="C103" s="3"/>
      <c r="D103" s="3"/>
      <c r="E103" s="3"/>
      <c r="F103" s="3">
        <v>-7.87</v>
      </c>
    </row>
    <row r="104" spans="1:6" x14ac:dyDescent="0.25">
      <c r="A104" s="4" t="s">
        <v>545</v>
      </c>
      <c r="B104" s="3"/>
      <c r="C104" s="3">
        <v>710.48000000000013</v>
      </c>
      <c r="D104" s="3">
        <v>121.33</v>
      </c>
      <c r="E104" s="3"/>
      <c r="F104" s="3">
        <v>831.81000000000017</v>
      </c>
    </row>
    <row r="105" spans="1:6" x14ac:dyDescent="0.25">
      <c r="A105" s="4" t="s">
        <v>807</v>
      </c>
      <c r="B105" s="3"/>
      <c r="C105" s="3"/>
      <c r="D105" s="3">
        <v>39.01</v>
      </c>
      <c r="E105" s="3"/>
      <c r="F105" s="3">
        <v>39.01</v>
      </c>
    </row>
    <row r="106" spans="1:6" x14ac:dyDescent="0.25">
      <c r="A106" s="4" t="s">
        <v>352</v>
      </c>
      <c r="B106" s="3">
        <v>29.13</v>
      </c>
      <c r="C106" s="3">
        <v>61.52</v>
      </c>
      <c r="D106" s="3"/>
      <c r="E106" s="3"/>
      <c r="F106" s="3">
        <v>90.65</v>
      </c>
    </row>
    <row r="107" spans="1:6" x14ac:dyDescent="0.25">
      <c r="A107" s="4" t="s">
        <v>115</v>
      </c>
      <c r="B107" s="3"/>
      <c r="C107" s="3">
        <v>44.12</v>
      </c>
      <c r="D107" s="3">
        <v>243.11</v>
      </c>
      <c r="E107" s="3"/>
      <c r="F107" s="3">
        <v>287.23</v>
      </c>
    </row>
    <row r="108" spans="1:6" x14ac:dyDescent="0.25">
      <c r="A108" s="4" t="s">
        <v>538</v>
      </c>
      <c r="B108" s="3">
        <v>34.770000000000003</v>
      </c>
      <c r="C108" s="3">
        <v>71.960000000000008</v>
      </c>
      <c r="D108" s="3"/>
      <c r="E108" s="3"/>
      <c r="F108" s="3">
        <v>106.73000000000002</v>
      </c>
    </row>
    <row r="109" spans="1:6" x14ac:dyDescent="0.25">
      <c r="A109" s="4" t="s">
        <v>648</v>
      </c>
      <c r="B109" s="3">
        <v>34.869999999999997</v>
      </c>
      <c r="C109" s="3"/>
      <c r="D109" s="3"/>
      <c r="E109" s="3"/>
      <c r="F109" s="3">
        <v>34.869999999999997</v>
      </c>
    </row>
    <row r="110" spans="1:6" x14ac:dyDescent="0.25">
      <c r="A110" s="4" t="s">
        <v>676</v>
      </c>
      <c r="B110" s="3"/>
      <c r="C110" s="3">
        <v>62.93</v>
      </c>
      <c r="D110" s="3"/>
      <c r="E110" s="3"/>
      <c r="F110" s="3">
        <v>62.93</v>
      </c>
    </row>
    <row r="111" spans="1:6" x14ac:dyDescent="0.25">
      <c r="A111" s="4" t="s">
        <v>198</v>
      </c>
      <c r="B111" s="3"/>
      <c r="C111" s="3">
        <v>104.21</v>
      </c>
      <c r="D111" s="3">
        <v>24.29</v>
      </c>
      <c r="E111" s="3"/>
      <c r="F111" s="3">
        <v>128.5</v>
      </c>
    </row>
    <row r="112" spans="1:6" x14ac:dyDescent="0.25">
      <c r="A112" s="4" t="s">
        <v>297</v>
      </c>
      <c r="B112" s="3"/>
      <c r="C112" s="3">
        <v>137.13999999999999</v>
      </c>
      <c r="D112" s="3"/>
      <c r="E112" s="3"/>
      <c r="F112" s="3">
        <v>137.13999999999999</v>
      </c>
    </row>
    <row r="113" spans="1:6" x14ac:dyDescent="0.25">
      <c r="A113" s="4" t="s">
        <v>610</v>
      </c>
      <c r="B113" s="3">
        <v>4.96</v>
      </c>
      <c r="C113" s="3">
        <v>60.76</v>
      </c>
      <c r="D113" s="3"/>
      <c r="E113" s="3"/>
      <c r="F113" s="3">
        <v>65.72</v>
      </c>
    </row>
    <row r="114" spans="1:6" x14ac:dyDescent="0.25">
      <c r="A114" s="4" t="s">
        <v>217</v>
      </c>
      <c r="B114" s="3">
        <v>196.56</v>
      </c>
      <c r="C114" s="3">
        <v>-20.85</v>
      </c>
      <c r="D114" s="3"/>
      <c r="E114" s="3"/>
      <c r="F114" s="3">
        <v>175.71</v>
      </c>
    </row>
    <row r="115" spans="1:6" x14ac:dyDescent="0.25">
      <c r="A115" s="4" t="s">
        <v>448</v>
      </c>
      <c r="B115" s="3">
        <v>40.58</v>
      </c>
      <c r="C115" s="3">
        <v>6.55</v>
      </c>
      <c r="D115" s="3"/>
      <c r="E115" s="3"/>
      <c r="F115" s="3">
        <v>47.129999999999995</v>
      </c>
    </row>
    <row r="116" spans="1:6" x14ac:dyDescent="0.25">
      <c r="A116" s="4" t="s">
        <v>808</v>
      </c>
      <c r="B116" s="3">
        <v>84.78</v>
      </c>
      <c r="C116" s="3">
        <v>9.19</v>
      </c>
      <c r="D116" s="3"/>
      <c r="E116" s="3"/>
      <c r="F116" s="3">
        <v>93.97</v>
      </c>
    </row>
    <row r="117" spans="1:6" x14ac:dyDescent="0.25">
      <c r="A117" s="4" t="s">
        <v>565</v>
      </c>
      <c r="B117" s="3">
        <v>213.75</v>
      </c>
      <c r="C117" s="3">
        <v>50.47</v>
      </c>
      <c r="D117" s="3"/>
      <c r="E117" s="3"/>
      <c r="F117" s="3">
        <v>264.22000000000003</v>
      </c>
    </row>
    <row r="118" spans="1:6" x14ac:dyDescent="0.25">
      <c r="A118" s="4" t="s">
        <v>312</v>
      </c>
      <c r="B118" s="3">
        <v>47.4</v>
      </c>
      <c r="C118" s="3"/>
      <c r="D118" s="3">
        <v>7.97</v>
      </c>
      <c r="E118" s="3"/>
      <c r="F118" s="3">
        <v>55.37</v>
      </c>
    </row>
    <row r="119" spans="1:6" x14ac:dyDescent="0.25">
      <c r="A119" s="4" t="s">
        <v>367</v>
      </c>
      <c r="B119" s="3"/>
      <c r="C119" s="3">
        <v>72.990000000000009</v>
      </c>
      <c r="D119" s="3"/>
      <c r="E119" s="3"/>
      <c r="F119" s="3">
        <v>72.990000000000009</v>
      </c>
    </row>
    <row r="120" spans="1:6" x14ac:dyDescent="0.25">
      <c r="A120" s="4" t="s">
        <v>140</v>
      </c>
      <c r="B120" s="3"/>
      <c r="C120" s="3">
        <v>133.07</v>
      </c>
      <c r="D120" s="3"/>
      <c r="E120" s="3"/>
      <c r="F120" s="3">
        <v>133.07</v>
      </c>
    </row>
    <row r="121" spans="1:6" x14ac:dyDescent="0.25">
      <c r="A121" s="4" t="s">
        <v>336</v>
      </c>
      <c r="B121" s="3"/>
      <c r="C121" s="3">
        <v>277.31</v>
      </c>
      <c r="D121" s="3"/>
      <c r="E121" s="3"/>
      <c r="F121" s="3">
        <v>277.31</v>
      </c>
    </row>
    <row r="122" spans="1:6" x14ac:dyDescent="0.25">
      <c r="A122" s="4" t="s">
        <v>837</v>
      </c>
      <c r="B122" s="3"/>
      <c r="C122" s="3">
        <v>50.25</v>
      </c>
      <c r="D122" s="3"/>
      <c r="E122" s="3"/>
      <c r="F122" s="3">
        <v>50.25</v>
      </c>
    </row>
    <row r="123" spans="1:6" x14ac:dyDescent="0.25">
      <c r="A123" s="4" t="s">
        <v>380</v>
      </c>
      <c r="B123" s="3">
        <v>1121.9100000000001</v>
      </c>
      <c r="C123" s="3">
        <v>37.39</v>
      </c>
      <c r="D123" s="3"/>
      <c r="E123" s="3"/>
      <c r="F123" s="3">
        <v>1159.3000000000002</v>
      </c>
    </row>
    <row r="124" spans="1:6" x14ac:dyDescent="0.25">
      <c r="A124" s="4" t="s">
        <v>254</v>
      </c>
      <c r="B124" s="3"/>
      <c r="C124" s="3">
        <v>9.66</v>
      </c>
      <c r="D124" s="3">
        <v>19.05</v>
      </c>
      <c r="E124" s="3"/>
      <c r="F124" s="3">
        <v>28.71</v>
      </c>
    </row>
    <row r="125" spans="1:6" x14ac:dyDescent="0.25">
      <c r="A125" s="4" t="s">
        <v>65</v>
      </c>
      <c r="B125" s="3"/>
      <c r="C125" s="3">
        <v>266.52999999999997</v>
      </c>
      <c r="D125" s="3"/>
      <c r="E125" s="3"/>
      <c r="F125" s="3">
        <v>266.52999999999997</v>
      </c>
    </row>
    <row r="126" spans="1:6" x14ac:dyDescent="0.25">
      <c r="A126" s="4" t="s">
        <v>569</v>
      </c>
      <c r="B126" s="3">
        <v>12.02</v>
      </c>
      <c r="C126" s="3">
        <v>60.46</v>
      </c>
      <c r="D126" s="3"/>
      <c r="E126" s="3"/>
      <c r="F126" s="3">
        <v>72.48</v>
      </c>
    </row>
    <row r="127" spans="1:6" x14ac:dyDescent="0.25">
      <c r="A127" s="4" t="s">
        <v>345</v>
      </c>
      <c r="B127" s="3"/>
      <c r="C127" s="3">
        <v>53.39</v>
      </c>
      <c r="D127" s="3"/>
      <c r="E127" s="3"/>
      <c r="F127" s="3">
        <v>53.39</v>
      </c>
    </row>
    <row r="128" spans="1:6" x14ac:dyDescent="0.25">
      <c r="A128" s="4" t="s">
        <v>281</v>
      </c>
      <c r="B128" s="3"/>
      <c r="C128" s="3">
        <v>245.4</v>
      </c>
      <c r="D128" s="3"/>
      <c r="E128" s="3"/>
      <c r="F128" s="3">
        <v>245.4</v>
      </c>
    </row>
    <row r="129" spans="1:6" x14ac:dyDescent="0.25">
      <c r="A129" s="4" t="s">
        <v>234</v>
      </c>
      <c r="B129" s="3"/>
      <c r="C129" s="3"/>
      <c r="D129" s="3">
        <v>35.31</v>
      </c>
      <c r="E129" s="3"/>
      <c r="F129" s="3">
        <v>35.31</v>
      </c>
    </row>
    <row r="130" spans="1:6" x14ac:dyDescent="0.25">
      <c r="A130" s="4" t="s">
        <v>1352</v>
      </c>
      <c r="B130" s="3">
        <v>535.95000000000005</v>
      </c>
      <c r="C130" s="3"/>
      <c r="D130" s="3"/>
      <c r="E130" s="3"/>
      <c r="F130" s="3">
        <v>535.95000000000005</v>
      </c>
    </row>
    <row r="131" spans="1:6" x14ac:dyDescent="0.25">
      <c r="A131" s="4" t="s">
        <v>802</v>
      </c>
      <c r="B131" s="3">
        <v>-89.69</v>
      </c>
      <c r="C131" s="3">
        <v>45.53</v>
      </c>
      <c r="D131" s="3">
        <v>4.5</v>
      </c>
      <c r="E131" s="3"/>
      <c r="F131" s="3">
        <v>-39.659999999999997</v>
      </c>
    </row>
    <row r="132" spans="1:6" x14ac:dyDescent="0.25">
      <c r="A132" s="4" t="s">
        <v>500</v>
      </c>
      <c r="B132" s="3">
        <v>838.52</v>
      </c>
      <c r="C132" s="3"/>
      <c r="D132" s="3"/>
      <c r="E132" s="3"/>
      <c r="F132" s="3">
        <v>838.52</v>
      </c>
    </row>
    <row r="133" spans="1:6" x14ac:dyDescent="0.25">
      <c r="A133" s="4" t="s">
        <v>645</v>
      </c>
      <c r="B133" s="3">
        <v>11.03</v>
      </c>
      <c r="C133" s="3">
        <v>47.57</v>
      </c>
      <c r="D133" s="3"/>
      <c r="E133" s="3"/>
      <c r="F133" s="3">
        <v>58.6</v>
      </c>
    </row>
    <row r="134" spans="1:6" x14ac:dyDescent="0.25">
      <c r="A134" s="4" t="s">
        <v>455</v>
      </c>
      <c r="B134" s="3">
        <v>24.049999999999997</v>
      </c>
      <c r="C134" s="3">
        <v>16.09</v>
      </c>
      <c r="D134" s="3"/>
      <c r="E134" s="3"/>
      <c r="F134" s="3">
        <v>40.14</v>
      </c>
    </row>
    <row r="135" spans="1:6" x14ac:dyDescent="0.25">
      <c r="A135" s="4" t="s">
        <v>501</v>
      </c>
      <c r="B135" s="3"/>
      <c r="C135" s="3">
        <v>33.739999999999995</v>
      </c>
      <c r="D135" s="3"/>
      <c r="E135" s="3"/>
      <c r="F135" s="3">
        <v>33.739999999999995</v>
      </c>
    </row>
    <row r="136" spans="1:6" x14ac:dyDescent="0.25">
      <c r="A136" s="4" t="s">
        <v>244</v>
      </c>
      <c r="B136" s="3"/>
      <c r="C136" s="3">
        <v>20.49</v>
      </c>
      <c r="D136" s="3"/>
      <c r="E136" s="3"/>
      <c r="F136" s="3">
        <v>20.49</v>
      </c>
    </row>
    <row r="137" spans="1:6" x14ac:dyDescent="0.25">
      <c r="A137" s="4" t="s">
        <v>603</v>
      </c>
      <c r="B137" s="3"/>
      <c r="C137" s="3">
        <v>2.58</v>
      </c>
      <c r="D137" s="3"/>
      <c r="E137" s="3"/>
      <c r="F137" s="3">
        <v>2.58</v>
      </c>
    </row>
    <row r="138" spans="1:6" x14ac:dyDescent="0.25">
      <c r="A138" s="4" t="s">
        <v>133</v>
      </c>
      <c r="B138" s="3"/>
      <c r="C138" s="3">
        <v>103.89</v>
      </c>
      <c r="D138" s="3"/>
      <c r="E138" s="3"/>
      <c r="F138" s="3">
        <v>103.89</v>
      </c>
    </row>
    <row r="139" spans="1:6" x14ac:dyDescent="0.25">
      <c r="A139" s="4" t="s">
        <v>204</v>
      </c>
      <c r="B139" s="3">
        <v>23.87</v>
      </c>
      <c r="C139" s="3">
        <v>1110.68</v>
      </c>
      <c r="D139" s="3">
        <v>93.34</v>
      </c>
      <c r="E139" s="3"/>
      <c r="F139" s="3">
        <v>1227.8899999999999</v>
      </c>
    </row>
    <row r="140" spans="1:6" x14ac:dyDescent="0.25">
      <c r="A140" s="4" t="s">
        <v>700</v>
      </c>
      <c r="B140" s="3">
        <v>49.68</v>
      </c>
      <c r="C140" s="3">
        <v>39.14</v>
      </c>
      <c r="D140" s="3"/>
      <c r="E140" s="3"/>
      <c r="F140" s="3">
        <v>88.82</v>
      </c>
    </row>
    <row r="141" spans="1:6" x14ac:dyDescent="0.25">
      <c r="A141" s="4" t="s">
        <v>80</v>
      </c>
      <c r="B141" s="3"/>
      <c r="C141" s="3">
        <v>132.54</v>
      </c>
      <c r="D141" s="3"/>
      <c r="E141" s="3"/>
      <c r="F141" s="3">
        <v>132.54</v>
      </c>
    </row>
    <row r="142" spans="1:6" x14ac:dyDescent="0.25">
      <c r="A142" s="4" t="s">
        <v>775</v>
      </c>
      <c r="B142" s="3">
        <v>27.65</v>
      </c>
      <c r="C142" s="3">
        <v>22.04</v>
      </c>
      <c r="D142" s="3"/>
      <c r="E142" s="3"/>
      <c r="F142" s="3">
        <v>49.69</v>
      </c>
    </row>
    <row r="143" spans="1:6" x14ac:dyDescent="0.25">
      <c r="A143" s="4" t="s">
        <v>977</v>
      </c>
      <c r="B143" s="3"/>
      <c r="C143" s="3">
        <v>128.16999999999999</v>
      </c>
      <c r="D143" s="3"/>
      <c r="E143" s="3"/>
      <c r="F143" s="3">
        <v>128.16999999999999</v>
      </c>
    </row>
    <row r="144" spans="1:6" x14ac:dyDescent="0.25">
      <c r="A144" s="4" t="s">
        <v>1391</v>
      </c>
      <c r="B144" s="3">
        <v>56.77</v>
      </c>
      <c r="C144" s="3"/>
      <c r="D144" s="3"/>
      <c r="E144" s="3"/>
      <c r="F144" s="3">
        <v>56.77</v>
      </c>
    </row>
    <row r="145" spans="1:6" x14ac:dyDescent="0.25">
      <c r="A145" s="4" t="s">
        <v>980</v>
      </c>
      <c r="B145" s="3">
        <v>104.41999999999999</v>
      </c>
      <c r="C145" s="3"/>
      <c r="D145" s="3">
        <v>17.78</v>
      </c>
      <c r="E145" s="3"/>
      <c r="F145" s="3">
        <v>122.19999999999999</v>
      </c>
    </row>
    <row r="146" spans="1:6" x14ac:dyDescent="0.25">
      <c r="A146" s="4" t="s">
        <v>1799</v>
      </c>
      <c r="B146" s="3"/>
      <c r="C146" s="3"/>
      <c r="D146" s="3">
        <v>15.41</v>
      </c>
      <c r="E146" s="3"/>
      <c r="F146" s="3">
        <v>15.41</v>
      </c>
    </row>
    <row r="147" spans="1:6" x14ac:dyDescent="0.25">
      <c r="A147" s="4" t="s">
        <v>557</v>
      </c>
      <c r="B147" s="3">
        <v>27.69</v>
      </c>
      <c r="C147" s="3">
        <v>11.14</v>
      </c>
      <c r="D147" s="3"/>
      <c r="E147" s="3"/>
      <c r="F147" s="3">
        <v>38.83</v>
      </c>
    </row>
    <row r="148" spans="1:6" x14ac:dyDescent="0.25">
      <c r="A148" s="4" t="s">
        <v>152</v>
      </c>
      <c r="B148" s="3"/>
      <c r="C148" s="3">
        <v>228.16</v>
      </c>
      <c r="D148" s="3"/>
      <c r="E148" s="3"/>
      <c r="F148" s="3">
        <v>228.16</v>
      </c>
    </row>
    <row r="149" spans="1:6" x14ac:dyDescent="0.25">
      <c r="A149" s="4" t="s">
        <v>695</v>
      </c>
      <c r="B149" s="3"/>
      <c r="C149" s="3">
        <v>36.31</v>
      </c>
      <c r="D149" s="3"/>
      <c r="E149" s="3"/>
      <c r="F149" s="3">
        <v>36.31</v>
      </c>
    </row>
    <row r="150" spans="1:6" x14ac:dyDescent="0.25">
      <c r="A150" s="4" t="s">
        <v>638</v>
      </c>
      <c r="B150" s="3">
        <v>3.85</v>
      </c>
      <c r="C150" s="3"/>
      <c r="D150" s="3"/>
      <c r="E150" s="3"/>
      <c r="F150" s="3">
        <v>3.85</v>
      </c>
    </row>
    <row r="151" spans="1:6" x14ac:dyDescent="0.25">
      <c r="A151" s="4" t="s">
        <v>161</v>
      </c>
      <c r="B151" s="3">
        <v>26.349999999999998</v>
      </c>
      <c r="C151" s="3"/>
      <c r="D151" s="3">
        <v>28.55</v>
      </c>
      <c r="E151" s="3"/>
      <c r="F151" s="3">
        <v>54.9</v>
      </c>
    </row>
    <row r="152" spans="1:6" x14ac:dyDescent="0.25">
      <c r="A152" s="4" t="s">
        <v>820</v>
      </c>
      <c r="B152" s="3"/>
      <c r="C152" s="3">
        <v>-243.83</v>
      </c>
      <c r="D152" s="3"/>
      <c r="E152" s="3"/>
      <c r="F152" s="3">
        <v>-243.83</v>
      </c>
    </row>
    <row r="153" spans="1:6" x14ac:dyDescent="0.25">
      <c r="A153" s="4" t="s">
        <v>262</v>
      </c>
      <c r="B153" s="3"/>
      <c r="C153" s="3">
        <v>211</v>
      </c>
      <c r="D153" s="3"/>
      <c r="E153" s="3"/>
      <c r="F153" s="3">
        <v>211</v>
      </c>
    </row>
    <row r="154" spans="1:6" x14ac:dyDescent="0.25">
      <c r="A154" s="4" t="s">
        <v>76</v>
      </c>
      <c r="B154" s="3">
        <v>120.35</v>
      </c>
      <c r="C154" s="3">
        <v>13.270000000000003</v>
      </c>
      <c r="D154" s="3"/>
      <c r="E154" s="3"/>
      <c r="F154" s="3">
        <v>133.62</v>
      </c>
    </row>
    <row r="155" spans="1:6" x14ac:dyDescent="0.25">
      <c r="A155" s="4" t="s">
        <v>255</v>
      </c>
      <c r="B155" s="3">
        <v>45.28</v>
      </c>
      <c r="C155" s="3">
        <v>359.1</v>
      </c>
      <c r="D155" s="3"/>
      <c r="E155" s="3"/>
      <c r="F155" s="3">
        <v>404.38</v>
      </c>
    </row>
    <row r="156" spans="1:6" x14ac:dyDescent="0.25">
      <c r="A156" s="4" t="s">
        <v>157</v>
      </c>
      <c r="B156" s="3">
        <v>136.71</v>
      </c>
      <c r="C156" s="3">
        <v>51.260000000000005</v>
      </c>
      <c r="D156" s="3"/>
      <c r="E156" s="3"/>
      <c r="F156" s="3">
        <v>187.97000000000003</v>
      </c>
    </row>
    <row r="157" spans="1:6" x14ac:dyDescent="0.25">
      <c r="A157" s="4" t="s">
        <v>636</v>
      </c>
      <c r="B157" s="3">
        <v>33.96</v>
      </c>
      <c r="C157" s="3">
        <v>49.06</v>
      </c>
      <c r="D157" s="3"/>
      <c r="E157" s="3"/>
      <c r="F157" s="3">
        <v>83.02000000000001</v>
      </c>
    </row>
    <row r="158" spans="1:6" x14ac:dyDescent="0.25">
      <c r="A158" s="4" t="s">
        <v>190</v>
      </c>
      <c r="B158" s="3">
        <v>42.26</v>
      </c>
      <c r="C158" s="3">
        <v>181.39</v>
      </c>
      <c r="D158" s="3"/>
      <c r="E158" s="3"/>
      <c r="F158" s="3">
        <v>223.64999999999998</v>
      </c>
    </row>
    <row r="159" spans="1:6" x14ac:dyDescent="0.25">
      <c r="A159" s="4" t="s">
        <v>2140</v>
      </c>
      <c r="B159" s="3"/>
      <c r="C159" s="3">
        <v>104.83</v>
      </c>
      <c r="D159" s="3"/>
      <c r="E159" s="3"/>
      <c r="F159" s="3">
        <v>104.83</v>
      </c>
    </row>
    <row r="160" spans="1:6" x14ac:dyDescent="0.25">
      <c r="A160" s="4" t="s">
        <v>1059</v>
      </c>
      <c r="B160" s="3">
        <v>195.13</v>
      </c>
      <c r="C160" s="3"/>
      <c r="D160" s="3"/>
      <c r="E160" s="3"/>
      <c r="F160" s="3">
        <v>195.13</v>
      </c>
    </row>
    <row r="161" spans="1:6" x14ac:dyDescent="0.25">
      <c r="A161" s="4" t="s">
        <v>184</v>
      </c>
      <c r="B161" s="3"/>
      <c r="C161" s="3">
        <v>3.64</v>
      </c>
      <c r="D161" s="3"/>
      <c r="E161" s="3"/>
      <c r="F161" s="3">
        <v>3.64</v>
      </c>
    </row>
    <row r="162" spans="1:6" x14ac:dyDescent="0.25">
      <c r="A162" s="4" t="s">
        <v>463</v>
      </c>
      <c r="B162" s="3">
        <v>72.34</v>
      </c>
      <c r="C162" s="3"/>
      <c r="D162" s="3"/>
      <c r="E162" s="3"/>
      <c r="F162" s="3">
        <v>72.34</v>
      </c>
    </row>
    <row r="163" spans="1:6" x14ac:dyDescent="0.25">
      <c r="A163" s="4" t="s">
        <v>154</v>
      </c>
      <c r="B163" s="3">
        <v>123.56</v>
      </c>
      <c r="C163" s="3">
        <v>9.15</v>
      </c>
      <c r="D163" s="3">
        <v>38.229999999999997</v>
      </c>
      <c r="E163" s="3"/>
      <c r="F163" s="3">
        <v>170.94</v>
      </c>
    </row>
    <row r="164" spans="1:6" x14ac:dyDescent="0.25">
      <c r="A164" s="4" t="s">
        <v>348</v>
      </c>
      <c r="B164" s="3">
        <v>83.61</v>
      </c>
      <c r="C164" s="3">
        <v>42.910000000000004</v>
      </c>
      <c r="D164" s="3"/>
      <c r="E164" s="3"/>
      <c r="F164" s="3">
        <v>126.52000000000001</v>
      </c>
    </row>
    <row r="165" spans="1:6" x14ac:dyDescent="0.25">
      <c r="A165" s="4" t="s">
        <v>396</v>
      </c>
      <c r="B165" s="3"/>
      <c r="C165" s="3">
        <v>60.21</v>
      </c>
      <c r="D165" s="3"/>
      <c r="E165" s="3"/>
      <c r="F165" s="3">
        <v>60.21</v>
      </c>
    </row>
    <row r="166" spans="1:6" x14ac:dyDescent="0.25">
      <c r="A166" s="4" t="s">
        <v>503</v>
      </c>
      <c r="B166" s="3">
        <v>32.69</v>
      </c>
      <c r="C166" s="3">
        <v>91.16</v>
      </c>
      <c r="D166" s="3"/>
      <c r="E166" s="3"/>
      <c r="F166" s="3">
        <v>123.85</v>
      </c>
    </row>
    <row r="167" spans="1:6" x14ac:dyDescent="0.25">
      <c r="A167" s="4" t="s">
        <v>287</v>
      </c>
      <c r="B167" s="3">
        <v>322.52</v>
      </c>
      <c r="C167" s="3">
        <v>3.33</v>
      </c>
      <c r="D167" s="3">
        <v>21.66</v>
      </c>
      <c r="E167" s="3"/>
      <c r="F167" s="3">
        <v>347.51</v>
      </c>
    </row>
    <row r="168" spans="1:6" x14ac:dyDescent="0.25">
      <c r="A168" s="4" t="s">
        <v>693</v>
      </c>
      <c r="B168" s="3"/>
      <c r="C168" s="3">
        <v>11.85</v>
      </c>
      <c r="D168" s="3"/>
      <c r="E168" s="3"/>
      <c r="F168" s="3">
        <v>11.85</v>
      </c>
    </row>
    <row r="169" spans="1:6" x14ac:dyDescent="0.25">
      <c r="A169" s="4" t="s">
        <v>847</v>
      </c>
      <c r="B169" s="3">
        <v>30.18</v>
      </c>
      <c r="C169" s="3"/>
      <c r="D169" s="3"/>
      <c r="E169" s="3"/>
      <c r="F169" s="3">
        <v>30.18</v>
      </c>
    </row>
    <row r="170" spans="1:6" x14ac:dyDescent="0.25">
      <c r="A170" s="4" t="s">
        <v>355</v>
      </c>
      <c r="B170" s="3"/>
      <c r="C170" s="3">
        <v>9.16</v>
      </c>
      <c r="D170" s="3">
        <v>13.98</v>
      </c>
      <c r="E170" s="3"/>
      <c r="F170" s="3">
        <v>23.14</v>
      </c>
    </row>
    <row r="171" spans="1:6" x14ac:dyDescent="0.25">
      <c r="A171" s="4" t="s">
        <v>446</v>
      </c>
      <c r="B171" s="3">
        <v>17.54</v>
      </c>
      <c r="C171" s="3"/>
      <c r="D171" s="3"/>
      <c r="E171" s="3"/>
      <c r="F171" s="3">
        <v>17.54</v>
      </c>
    </row>
    <row r="172" spans="1:6" x14ac:dyDescent="0.25">
      <c r="A172" s="4" t="s">
        <v>390</v>
      </c>
      <c r="B172" s="3"/>
      <c r="C172" s="3">
        <v>185.45</v>
      </c>
      <c r="D172" s="3"/>
      <c r="E172" s="3"/>
      <c r="F172" s="3">
        <v>185.45</v>
      </c>
    </row>
    <row r="173" spans="1:6" x14ac:dyDescent="0.25">
      <c r="A173" s="4" t="s">
        <v>60</v>
      </c>
      <c r="B173" s="3">
        <v>28.49</v>
      </c>
      <c r="C173" s="3">
        <v>7.32</v>
      </c>
      <c r="D173" s="3"/>
      <c r="E173" s="3"/>
      <c r="F173" s="3">
        <v>35.81</v>
      </c>
    </row>
    <row r="174" spans="1:6" x14ac:dyDescent="0.25">
      <c r="A174" s="4" t="s">
        <v>200</v>
      </c>
      <c r="B174" s="3">
        <v>82.48</v>
      </c>
      <c r="C174" s="3"/>
      <c r="D174" s="3"/>
      <c r="E174" s="3"/>
      <c r="F174" s="3">
        <v>82.48</v>
      </c>
    </row>
    <row r="175" spans="1:6" x14ac:dyDescent="0.25">
      <c r="A175" s="4" t="s">
        <v>219</v>
      </c>
      <c r="B175" s="3"/>
      <c r="C175" s="3">
        <v>76.27</v>
      </c>
      <c r="D175" s="3"/>
      <c r="E175" s="3"/>
      <c r="F175" s="3">
        <v>76.27</v>
      </c>
    </row>
    <row r="176" spans="1:6" x14ac:dyDescent="0.25">
      <c r="A176" s="4" t="s">
        <v>323</v>
      </c>
      <c r="B176" s="3">
        <v>15.25</v>
      </c>
      <c r="C176" s="3"/>
      <c r="D176" s="3"/>
      <c r="E176" s="3"/>
      <c r="F176" s="3">
        <v>15.25</v>
      </c>
    </row>
    <row r="177" spans="1:6" x14ac:dyDescent="0.25">
      <c r="A177" s="4" t="s">
        <v>176</v>
      </c>
      <c r="B177" s="3"/>
      <c r="C177" s="3">
        <v>448.22</v>
      </c>
      <c r="D177" s="3"/>
      <c r="E177" s="3"/>
      <c r="F177" s="3">
        <v>448.22</v>
      </c>
    </row>
    <row r="178" spans="1:6" x14ac:dyDescent="0.25">
      <c r="A178" s="4" t="s">
        <v>661</v>
      </c>
      <c r="B178" s="3">
        <v>90.82</v>
      </c>
      <c r="C178" s="3">
        <v>92.14</v>
      </c>
      <c r="D178" s="3"/>
      <c r="E178" s="3"/>
      <c r="F178" s="3">
        <v>182.95999999999998</v>
      </c>
    </row>
    <row r="179" spans="1:6" x14ac:dyDescent="0.25">
      <c r="A179" s="4" t="s">
        <v>174</v>
      </c>
      <c r="B179" s="3"/>
      <c r="C179" s="3">
        <v>46.31</v>
      </c>
      <c r="D179" s="3"/>
      <c r="E179" s="3"/>
      <c r="F179" s="3">
        <v>46.31</v>
      </c>
    </row>
    <row r="180" spans="1:6" x14ac:dyDescent="0.25">
      <c r="A180" s="4" t="s">
        <v>960</v>
      </c>
      <c r="B180" s="3">
        <v>38.5</v>
      </c>
      <c r="C180" s="3">
        <v>3.19</v>
      </c>
      <c r="D180" s="3"/>
      <c r="E180" s="3"/>
      <c r="F180" s="3">
        <v>41.69</v>
      </c>
    </row>
    <row r="181" spans="1:6" x14ac:dyDescent="0.25">
      <c r="A181" s="4" t="s">
        <v>90</v>
      </c>
      <c r="B181" s="3">
        <v>29.12</v>
      </c>
      <c r="C181" s="3">
        <v>114.23</v>
      </c>
      <c r="D181" s="3"/>
      <c r="E181" s="3"/>
      <c r="F181" s="3">
        <v>143.35</v>
      </c>
    </row>
    <row r="182" spans="1:6" x14ac:dyDescent="0.25">
      <c r="A182" s="4" t="s">
        <v>467</v>
      </c>
      <c r="B182" s="3">
        <v>52.78</v>
      </c>
      <c r="C182" s="3"/>
      <c r="D182" s="3"/>
      <c r="E182" s="3"/>
      <c r="F182" s="3">
        <v>52.78</v>
      </c>
    </row>
    <row r="183" spans="1:6" x14ac:dyDescent="0.25">
      <c r="A183" s="4" t="s">
        <v>435</v>
      </c>
      <c r="B183" s="3"/>
      <c r="C183" s="3">
        <v>130.65</v>
      </c>
      <c r="D183" s="3"/>
      <c r="E183" s="3"/>
      <c r="F183" s="3">
        <v>130.65</v>
      </c>
    </row>
    <row r="184" spans="1:6" x14ac:dyDescent="0.25">
      <c r="A184" s="4" t="s">
        <v>294</v>
      </c>
      <c r="B184" s="3">
        <v>716.66</v>
      </c>
      <c r="C184" s="3"/>
      <c r="D184" s="3"/>
      <c r="E184" s="3"/>
      <c r="F184" s="3">
        <v>716.66</v>
      </c>
    </row>
    <row r="185" spans="1:6" x14ac:dyDescent="0.25">
      <c r="A185" s="4" t="s">
        <v>89</v>
      </c>
      <c r="B185" s="3"/>
      <c r="C185" s="3">
        <v>30.94</v>
      </c>
      <c r="D185" s="3"/>
      <c r="E185" s="3"/>
      <c r="F185" s="3">
        <v>30.94</v>
      </c>
    </row>
    <row r="186" spans="1:6" x14ac:dyDescent="0.25">
      <c r="A186" s="4" t="s">
        <v>384</v>
      </c>
      <c r="B186" s="3">
        <v>50.49</v>
      </c>
      <c r="C186" s="3"/>
      <c r="D186" s="3"/>
      <c r="E186" s="3"/>
      <c r="F186" s="3">
        <v>50.49</v>
      </c>
    </row>
    <row r="187" spans="1:6" x14ac:dyDescent="0.25">
      <c r="A187" s="4" t="s">
        <v>118</v>
      </c>
      <c r="B187" s="3">
        <v>55.37</v>
      </c>
      <c r="C187" s="3"/>
      <c r="D187" s="3"/>
      <c r="E187" s="3"/>
      <c r="F187" s="3">
        <v>55.37</v>
      </c>
    </row>
    <row r="188" spans="1:6" x14ac:dyDescent="0.25">
      <c r="A188" s="4" t="s">
        <v>403</v>
      </c>
      <c r="B188" s="3">
        <v>85.49</v>
      </c>
      <c r="C188" s="3">
        <v>89.23</v>
      </c>
      <c r="D188" s="3"/>
      <c r="E188" s="3"/>
      <c r="F188" s="3">
        <v>174.72</v>
      </c>
    </row>
    <row r="189" spans="1:6" x14ac:dyDescent="0.25">
      <c r="A189" s="4" t="s">
        <v>179</v>
      </c>
      <c r="B189" s="3">
        <v>38.340000000000003</v>
      </c>
      <c r="C189" s="3">
        <v>18.32</v>
      </c>
      <c r="D189" s="3"/>
      <c r="E189" s="3"/>
      <c r="F189" s="3">
        <v>56.660000000000004</v>
      </c>
    </row>
    <row r="190" spans="1:6" x14ac:dyDescent="0.25">
      <c r="A190" s="4" t="s">
        <v>201</v>
      </c>
      <c r="B190" s="3"/>
      <c r="C190" s="3">
        <v>14.39</v>
      </c>
      <c r="D190" s="3">
        <v>25.28</v>
      </c>
      <c r="E190" s="3"/>
      <c r="F190" s="3">
        <v>39.67</v>
      </c>
    </row>
    <row r="191" spans="1:6" x14ac:dyDescent="0.25">
      <c r="A191" s="4" t="s">
        <v>829</v>
      </c>
      <c r="B191" s="3"/>
      <c r="C191" s="3">
        <v>3.41</v>
      </c>
      <c r="D191" s="3"/>
      <c r="E191" s="3"/>
      <c r="F191" s="3">
        <v>3.41</v>
      </c>
    </row>
    <row r="192" spans="1:6" x14ac:dyDescent="0.25">
      <c r="A192" s="4" t="s">
        <v>930</v>
      </c>
      <c r="B192" s="3"/>
      <c r="C192" s="3">
        <v>151.36000000000001</v>
      </c>
      <c r="D192" s="3"/>
      <c r="E192" s="3"/>
      <c r="F192" s="3">
        <v>151.36000000000001</v>
      </c>
    </row>
    <row r="193" spans="1:6" x14ac:dyDescent="0.25">
      <c r="A193" s="4" t="s">
        <v>571</v>
      </c>
      <c r="B193" s="3">
        <v>7.43</v>
      </c>
      <c r="C193" s="3">
        <v>14.34</v>
      </c>
      <c r="D193" s="3">
        <v>31.75</v>
      </c>
      <c r="E193" s="3"/>
      <c r="F193" s="3">
        <v>53.519999999999996</v>
      </c>
    </row>
    <row r="194" spans="1:6" x14ac:dyDescent="0.25">
      <c r="A194" s="4" t="s">
        <v>347</v>
      </c>
      <c r="B194" s="3"/>
      <c r="C194" s="3">
        <v>97.16</v>
      </c>
      <c r="D194" s="3"/>
      <c r="E194" s="3"/>
      <c r="F194" s="3">
        <v>97.16</v>
      </c>
    </row>
    <row r="195" spans="1:6" x14ac:dyDescent="0.25">
      <c r="A195" s="4" t="s">
        <v>593</v>
      </c>
      <c r="B195" s="3">
        <v>26.51</v>
      </c>
      <c r="C195" s="3">
        <v>36.54</v>
      </c>
      <c r="D195" s="3"/>
      <c r="E195" s="3"/>
      <c r="F195" s="3">
        <v>63.05</v>
      </c>
    </row>
    <row r="196" spans="1:6" x14ac:dyDescent="0.25">
      <c r="A196" s="4" t="s">
        <v>721</v>
      </c>
      <c r="B196" s="3">
        <v>51.55</v>
      </c>
      <c r="C196" s="3">
        <v>18.84</v>
      </c>
      <c r="D196" s="3"/>
      <c r="E196" s="3"/>
      <c r="F196" s="3">
        <v>70.39</v>
      </c>
    </row>
    <row r="197" spans="1:6" x14ac:dyDescent="0.25">
      <c r="A197" s="4" t="s">
        <v>379</v>
      </c>
      <c r="B197" s="3">
        <v>49.91</v>
      </c>
      <c r="C197" s="3">
        <v>28.79</v>
      </c>
      <c r="D197" s="3"/>
      <c r="E197" s="3"/>
      <c r="F197" s="3">
        <v>78.699999999999989</v>
      </c>
    </row>
    <row r="198" spans="1:6" x14ac:dyDescent="0.25">
      <c r="A198" s="4" t="s">
        <v>753</v>
      </c>
      <c r="B198" s="3">
        <v>59.73</v>
      </c>
      <c r="C198" s="3"/>
      <c r="D198" s="3"/>
      <c r="E198" s="3"/>
      <c r="F198" s="3">
        <v>59.73</v>
      </c>
    </row>
    <row r="199" spans="1:6" x14ac:dyDescent="0.25">
      <c r="A199" s="4" t="s">
        <v>482</v>
      </c>
      <c r="B199" s="3"/>
      <c r="C199" s="3">
        <v>22.85</v>
      </c>
      <c r="D199" s="3">
        <v>10.75</v>
      </c>
      <c r="E199" s="3"/>
      <c r="F199" s="3">
        <v>33.6</v>
      </c>
    </row>
    <row r="200" spans="1:6" x14ac:dyDescent="0.25">
      <c r="A200" s="4" t="s">
        <v>544</v>
      </c>
      <c r="B200" s="3"/>
      <c r="C200" s="3">
        <v>22.89</v>
      </c>
      <c r="D200" s="3">
        <v>103.93</v>
      </c>
      <c r="E200" s="3"/>
      <c r="F200" s="3">
        <v>126.82000000000001</v>
      </c>
    </row>
    <row r="201" spans="1:6" x14ac:dyDescent="0.25">
      <c r="A201" s="4" t="s">
        <v>54</v>
      </c>
      <c r="B201" s="3"/>
      <c r="C201" s="3">
        <v>22.34</v>
      </c>
      <c r="D201" s="3"/>
      <c r="E201" s="3"/>
      <c r="F201" s="3">
        <v>22.34</v>
      </c>
    </row>
    <row r="202" spans="1:6" x14ac:dyDescent="0.25">
      <c r="A202" s="4" t="s">
        <v>823</v>
      </c>
      <c r="B202" s="3">
        <v>71.73</v>
      </c>
      <c r="C202" s="3">
        <v>21.71</v>
      </c>
      <c r="D202" s="3"/>
      <c r="E202" s="3"/>
      <c r="F202" s="3">
        <v>93.44</v>
      </c>
    </row>
    <row r="203" spans="1:6" x14ac:dyDescent="0.25">
      <c r="A203" s="4" t="s">
        <v>211</v>
      </c>
      <c r="B203" s="3"/>
      <c r="C203" s="3">
        <v>259.47000000000003</v>
      </c>
      <c r="D203" s="3"/>
      <c r="E203" s="3"/>
      <c r="F203" s="3">
        <v>259.47000000000003</v>
      </c>
    </row>
    <row r="204" spans="1:6" x14ac:dyDescent="0.25">
      <c r="A204" s="4" t="s">
        <v>433</v>
      </c>
      <c r="B204" s="3"/>
      <c r="C204" s="3">
        <v>171.12</v>
      </c>
      <c r="D204" s="3"/>
      <c r="E204" s="3"/>
      <c r="F204" s="3">
        <v>171.12</v>
      </c>
    </row>
    <row r="205" spans="1:6" x14ac:dyDescent="0.25">
      <c r="A205" s="4" t="s">
        <v>479</v>
      </c>
      <c r="B205" s="3">
        <v>206.78000000000003</v>
      </c>
      <c r="C205" s="3">
        <v>66.52000000000001</v>
      </c>
      <c r="D205" s="3"/>
      <c r="E205" s="3"/>
      <c r="F205" s="3">
        <v>273.30000000000007</v>
      </c>
    </row>
    <row r="206" spans="1:6" x14ac:dyDescent="0.25">
      <c r="A206" s="4" t="s">
        <v>689</v>
      </c>
      <c r="B206" s="3">
        <v>37.880000000000003</v>
      </c>
      <c r="C206" s="3">
        <v>28.4</v>
      </c>
      <c r="D206" s="3">
        <v>13.26</v>
      </c>
      <c r="E206" s="3"/>
      <c r="F206" s="3">
        <v>79.540000000000006</v>
      </c>
    </row>
    <row r="207" spans="1:6" x14ac:dyDescent="0.25">
      <c r="A207" s="4" t="s">
        <v>399</v>
      </c>
      <c r="B207" s="3"/>
      <c r="C207" s="3">
        <v>12.01</v>
      </c>
      <c r="D207" s="3">
        <v>19.09</v>
      </c>
      <c r="E207" s="3"/>
      <c r="F207" s="3">
        <v>31.1</v>
      </c>
    </row>
    <row r="208" spans="1:6" x14ac:dyDescent="0.25">
      <c r="A208" s="4" t="s">
        <v>300</v>
      </c>
      <c r="B208" s="3"/>
      <c r="C208" s="3"/>
      <c r="D208" s="3">
        <v>240.8</v>
      </c>
      <c r="E208" s="3"/>
      <c r="F208" s="3">
        <v>240.8</v>
      </c>
    </row>
    <row r="209" spans="1:6" x14ac:dyDescent="0.25">
      <c r="A209" s="4" t="s">
        <v>843</v>
      </c>
      <c r="B209" s="3">
        <v>68.38</v>
      </c>
      <c r="C209" s="3">
        <v>38.870000000000005</v>
      </c>
      <c r="D209" s="3">
        <v>3.37</v>
      </c>
      <c r="E209" s="3"/>
      <c r="F209" s="3">
        <v>110.62</v>
      </c>
    </row>
    <row r="210" spans="1:6" x14ac:dyDescent="0.25">
      <c r="A210" s="4" t="s">
        <v>125</v>
      </c>
      <c r="B210" s="3">
        <v>90.96</v>
      </c>
      <c r="C210" s="3">
        <v>542.16999999999996</v>
      </c>
      <c r="D210" s="3">
        <v>92.27</v>
      </c>
      <c r="E210" s="3"/>
      <c r="F210" s="3">
        <v>725.4</v>
      </c>
    </row>
    <row r="211" spans="1:6" x14ac:dyDescent="0.25">
      <c r="A211" s="4" t="s">
        <v>296</v>
      </c>
      <c r="B211" s="3">
        <v>43.84</v>
      </c>
      <c r="C211" s="3">
        <v>33.93</v>
      </c>
      <c r="D211" s="3"/>
      <c r="E211" s="3"/>
      <c r="F211" s="3">
        <v>77.77000000000001</v>
      </c>
    </row>
    <row r="212" spans="1:6" x14ac:dyDescent="0.25">
      <c r="A212" s="4" t="s">
        <v>253</v>
      </c>
      <c r="B212" s="3">
        <v>42.14</v>
      </c>
      <c r="C212" s="3">
        <v>11.99</v>
      </c>
      <c r="D212" s="3"/>
      <c r="E212" s="3"/>
      <c r="F212" s="3">
        <v>54.13</v>
      </c>
    </row>
    <row r="213" spans="1:6" x14ac:dyDescent="0.25">
      <c r="A213" s="4" t="s">
        <v>626</v>
      </c>
      <c r="B213" s="3"/>
      <c r="C213" s="3">
        <v>62.730000000000004</v>
      </c>
      <c r="D213" s="3"/>
      <c r="E213" s="3"/>
      <c r="F213" s="3">
        <v>62.730000000000004</v>
      </c>
    </row>
    <row r="214" spans="1:6" x14ac:dyDescent="0.25">
      <c r="A214" s="4" t="s">
        <v>195</v>
      </c>
      <c r="B214" s="3">
        <v>18.02</v>
      </c>
      <c r="C214" s="3">
        <v>118.17</v>
      </c>
      <c r="D214" s="3">
        <v>53.83</v>
      </c>
      <c r="E214" s="3"/>
      <c r="F214" s="3">
        <v>190.01999999999998</v>
      </c>
    </row>
    <row r="215" spans="1:6" x14ac:dyDescent="0.25">
      <c r="A215" s="4" t="s">
        <v>280</v>
      </c>
      <c r="B215" s="3"/>
      <c r="C215" s="3">
        <v>43.15</v>
      </c>
      <c r="D215" s="3"/>
      <c r="E215" s="3"/>
      <c r="F215" s="3">
        <v>43.15</v>
      </c>
    </row>
    <row r="216" spans="1:6" x14ac:dyDescent="0.25">
      <c r="A216" s="4" t="s">
        <v>877</v>
      </c>
      <c r="B216" s="3"/>
      <c r="C216" s="3">
        <v>17.8</v>
      </c>
      <c r="D216" s="3"/>
      <c r="E216" s="3"/>
      <c r="F216" s="3">
        <v>17.8</v>
      </c>
    </row>
    <row r="217" spans="1:6" x14ac:dyDescent="0.25">
      <c r="A217" s="4" t="s">
        <v>699</v>
      </c>
      <c r="B217" s="3">
        <v>160.06</v>
      </c>
      <c r="C217" s="3"/>
      <c r="D217" s="3"/>
      <c r="E217" s="3"/>
      <c r="F217" s="3">
        <v>160.06</v>
      </c>
    </row>
    <row r="218" spans="1:6" x14ac:dyDescent="0.25">
      <c r="A218" s="4" t="s">
        <v>512</v>
      </c>
      <c r="B218" s="3"/>
      <c r="C218" s="3">
        <v>77.849999999999994</v>
      </c>
      <c r="D218" s="3"/>
      <c r="E218" s="3"/>
      <c r="F218" s="3">
        <v>77.849999999999994</v>
      </c>
    </row>
    <row r="219" spans="1:6" x14ac:dyDescent="0.25">
      <c r="A219" s="4" t="s">
        <v>831</v>
      </c>
      <c r="B219" s="3"/>
      <c r="C219" s="3">
        <v>1454.57</v>
      </c>
      <c r="D219" s="3">
        <v>-30.05</v>
      </c>
      <c r="E219" s="3"/>
      <c r="F219" s="3">
        <v>1424.52</v>
      </c>
    </row>
    <row r="220" spans="1:6" x14ac:dyDescent="0.25">
      <c r="A220" s="4" t="s">
        <v>437</v>
      </c>
      <c r="B220" s="3">
        <v>10.24</v>
      </c>
      <c r="C220" s="3"/>
      <c r="D220" s="3"/>
      <c r="E220" s="3"/>
      <c r="F220" s="3">
        <v>10.24</v>
      </c>
    </row>
    <row r="221" spans="1:6" x14ac:dyDescent="0.25">
      <c r="A221" s="4" t="s">
        <v>506</v>
      </c>
      <c r="B221" s="3">
        <v>190.38</v>
      </c>
      <c r="C221" s="3"/>
      <c r="D221" s="3">
        <v>5.36</v>
      </c>
      <c r="E221" s="3"/>
      <c r="F221" s="3">
        <v>195.74</v>
      </c>
    </row>
    <row r="222" spans="1:6" x14ac:dyDescent="0.25">
      <c r="A222" s="4" t="s">
        <v>514</v>
      </c>
      <c r="B222" s="3">
        <v>9.0399999999999991</v>
      </c>
      <c r="C222" s="3">
        <v>54.34</v>
      </c>
      <c r="D222" s="3"/>
      <c r="E222" s="3"/>
      <c r="F222" s="3">
        <v>63.38</v>
      </c>
    </row>
    <row r="223" spans="1:6" x14ac:dyDescent="0.25">
      <c r="A223" s="4" t="s">
        <v>239</v>
      </c>
      <c r="B223" s="3">
        <v>30.74</v>
      </c>
      <c r="C223" s="3"/>
      <c r="D223" s="3">
        <v>28.39</v>
      </c>
      <c r="E223" s="3"/>
      <c r="F223" s="3">
        <v>59.129999999999995</v>
      </c>
    </row>
    <row r="224" spans="1:6" x14ac:dyDescent="0.25">
      <c r="A224" s="4" t="s">
        <v>182</v>
      </c>
      <c r="B224" s="3">
        <v>130.08000000000001</v>
      </c>
      <c r="C224" s="3">
        <v>41.669999999999995</v>
      </c>
      <c r="D224" s="3"/>
      <c r="E224" s="3"/>
      <c r="F224" s="3">
        <v>171.75</v>
      </c>
    </row>
    <row r="225" spans="1:6" x14ac:dyDescent="0.25">
      <c r="A225" s="4" t="s">
        <v>494</v>
      </c>
      <c r="B225" s="3">
        <v>36.56</v>
      </c>
      <c r="C225" s="3">
        <v>17.649999999999999</v>
      </c>
      <c r="D225" s="3">
        <v>43.76</v>
      </c>
      <c r="E225" s="3"/>
      <c r="F225" s="3">
        <v>97.97</v>
      </c>
    </row>
    <row r="226" spans="1:6" x14ac:dyDescent="0.25">
      <c r="A226" s="4" t="s">
        <v>247</v>
      </c>
      <c r="B226" s="3">
        <v>150.07</v>
      </c>
      <c r="C226" s="3"/>
      <c r="D226" s="3"/>
      <c r="E226" s="3"/>
      <c r="F226" s="3">
        <v>150.07</v>
      </c>
    </row>
    <row r="227" spans="1:6" x14ac:dyDescent="0.25">
      <c r="A227" s="4" t="s">
        <v>1008</v>
      </c>
      <c r="B227" s="3"/>
      <c r="C227" s="3">
        <v>10.78</v>
      </c>
      <c r="D227" s="3"/>
      <c r="E227" s="3"/>
      <c r="F227" s="3">
        <v>10.78</v>
      </c>
    </row>
    <row r="228" spans="1:6" x14ac:dyDescent="0.25">
      <c r="A228" s="4" t="s">
        <v>183</v>
      </c>
      <c r="B228" s="3"/>
      <c r="C228" s="3"/>
      <c r="D228" s="3">
        <v>9</v>
      </c>
      <c r="E228" s="3"/>
      <c r="F228" s="3">
        <v>9</v>
      </c>
    </row>
    <row r="229" spans="1:6" x14ac:dyDescent="0.25">
      <c r="A229" s="4" t="s">
        <v>811</v>
      </c>
      <c r="B229" s="3"/>
      <c r="C229" s="3">
        <v>21.95</v>
      </c>
      <c r="D229" s="3"/>
      <c r="E229" s="3"/>
      <c r="F229" s="3">
        <v>21.95</v>
      </c>
    </row>
    <row r="230" spans="1:6" x14ac:dyDescent="0.25">
      <c r="A230" s="4" t="s">
        <v>949</v>
      </c>
      <c r="B230" s="3">
        <v>28.61</v>
      </c>
      <c r="C230" s="3">
        <v>662</v>
      </c>
      <c r="D230" s="3"/>
      <c r="E230" s="3"/>
      <c r="F230" s="3">
        <v>690.61</v>
      </c>
    </row>
    <row r="231" spans="1:6" x14ac:dyDescent="0.25">
      <c r="A231" s="4" t="s">
        <v>383</v>
      </c>
      <c r="B231" s="3"/>
      <c r="C231" s="3">
        <v>141.97999999999999</v>
      </c>
      <c r="D231" s="3"/>
      <c r="E231" s="3"/>
      <c r="F231" s="3">
        <v>141.97999999999999</v>
      </c>
    </row>
    <row r="232" spans="1:6" x14ac:dyDescent="0.25">
      <c r="A232" s="4" t="s">
        <v>994</v>
      </c>
      <c r="B232" s="3"/>
      <c r="C232" s="3">
        <v>9.3800000000000008</v>
      </c>
      <c r="D232" s="3"/>
      <c r="E232" s="3"/>
      <c r="F232" s="3">
        <v>9.3800000000000008</v>
      </c>
    </row>
    <row r="233" spans="1:6" x14ac:dyDescent="0.25">
      <c r="A233" s="4" t="s">
        <v>393</v>
      </c>
      <c r="B233" s="3"/>
      <c r="C233" s="3">
        <v>354.86</v>
      </c>
      <c r="D233" s="3">
        <v>34.659999999999997</v>
      </c>
      <c r="E233" s="3"/>
      <c r="F233" s="3">
        <v>389.52</v>
      </c>
    </row>
    <row r="234" spans="1:6" x14ac:dyDescent="0.25">
      <c r="A234" s="4" t="s">
        <v>1119</v>
      </c>
      <c r="B234" s="3">
        <v>17.62</v>
      </c>
      <c r="C234" s="3"/>
      <c r="D234" s="3"/>
      <c r="E234" s="3"/>
      <c r="F234" s="3">
        <v>17.62</v>
      </c>
    </row>
    <row r="235" spans="1:6" x14ac:dyDescent="0.25">
      <c r="A235" s="4" t="s">
        <v>649</v>
      </c>
      <c r="B235" s="3">
        <v>35.96</v>
      </c>
      <c r="C235" s="3"/>
      <c r="D235" s="3"/>
      <c r="E235" s="3"/>
      <c r="F235" s="3">
        <v>35.96</v>
      </c>
    </row>
    <row r="236" spans="1:6" x14ac:dyDescent="0.25">
      <c r="A236" s="4" t="s">
        <v>392</v>
      </c>
      <c r="B236" s="3"/>
      <c r="C236" s="3">
        <v>48.87</v>
      </c>
      <c r="D236" s="3"/>
      <c r="E236" s="3"/>
      <c r="F236" s="3">
        <v>48.87</v>
      </c>
    </row>
    <row r="237" spans="1:6" x14ac:dyDescent="0.25">
      <c r="A237" s="4" t="s">
        <v>224</v>
      </c>
      <c r="B237" s="3"/>
      <c r="C237" s="3">
        <v>47.02</v>
      </c>
      <c r="D237" s="3"/>
      <c r="E237" s="3"/>
      <c r="F237" s="3">
        <v>47.02</v>
      </c>
    </row>
    <row r="238" spans="1:6" x14ac:dyDescent="0.25">
      <c r="A238" s="4" t="s">
        <v>104</v>
      </c>
      <c r="B238" s="3">
        <v>72.64</v>
      </c>
      <c r="C238" s="3">
        <v>3.35</v>
      </c>
      <c r="D238" s="3"/>
      <c r="E238" s="3"/>
      <c r="F238" s="3">
        <v>75.989999999999995</v>
      </c>
    </row>
    <row r="239" spans="1:6" x14ac:dyDescent="0.25">
      <c r="A239" s="4" t="s">
        <v>365</v>
      </c>
      <c r="B239" s="3"/>
      <c r="C239" s="3">
        <v>12.99</v>
      </c>
      <c r="D239" s="3">
        <v>5.33</v>
      </c>
      <c r="E239" s="3"/>
      <c r="F239" s="3">
        <v>18.32</v>
      </c>
    </row>
    <row r="240" spans="1:6" x14ac:dyDescent="0.25">
      <c r="A240" s="4" t="s">
        <v>643</v>
      </c>
      <c r="B240" s="3"/>
      <c r="C240" s="3">
        <v>112.28</v>
      </c>
      <c r="D240" s="3"/>
      <c r="E240" s="3"/>
      <c r="F240" s="3">
        <v>112.28</v>
      </c>
    </row>
    <row r="241" spans="1:6" x14ac:dyDescent="0.25">
      <c r="A241" s="4" t="s">
        <v>397</v>
      </c>
      <c r="B241" s="3">
        <v>112.35</v>
      </c>
      <c r="C241" s="3"/>
      <c r="D241" s="3">
        <v>5.37</v>
      </c>
      <c r="E241" s="3"/>
      <c r="F241" s="3">
        <v>117.72</v>
      </c>
    </row>
    <row r="242" spans="1:6" x14ac:dyDescent="0.25">
      <c r="A242" s="4" t="s">
        <v>309</v>
      </c>
      <c r="B242" s="3">
        <v>4.5599999999999987</v>
      </c>
      <c r="C242" s="3">
        <v>323.68</v>
      </c>
      <c r="D242" s="3"/>
      <c r="E242" s="3"/>
      <c r="F242" s="3">
        <v>328.24</v>
      </c>
    </row>
    <row r="243" spans="1:6" x14ac:dyDescent="0.25">
      <c r="A243" s="4" t="s">
        <v>609</v>
      </c>
      <c r="B243" s="3"/>
      <c r="C243" s="3">
        <v>52.510000000000005</v>
      </c>
      <c r="D243" s="3"/>
      <c r="E243" s="3"/>
      <c r="F243" s="3">
        <v>52.510000000000005</v>
      </c>
    </row>
    <row r="244" spans="1:6" x14ac:dyDescent="0.25">
      <c r="A244" s="4" t="s">
        <v>483</v>
      </c>
      <c r="B244" s="3">
        <v>76.95</v>
      </c>
      <c r="C244" s="3">
        <v>33.24</v>
      </c>
      <c r="D244" s="3">
        <v>1449.49</v>
      </c>
      <c r="E244" s="3"/>
      <c r="F244" s="3">
        <v>1559.68</v>
      </c>
    </row>
    <row r="245" spans="1:6" x14ac:dyDescent="0.25">
      <c r="A245" s="4" t="s">
        <v>2207</v>
      </c>
      <c r="B245" s="3">
        <v>31.82</v>
      </c>
      <c r="C245" s="3">
        <v>173.49</v>
      </c>
      <c r="D245" s="3"/>
      <c r="E245" s="3"/>
      <c r="F245" s="3">
        <v>205.31</v>
      </c>
    </row>
    <row r="246" spans="1:6" x14ac:dyDescent="0.25">
      <c r="A246" s="4" t="s">
        <v>304</v>
      </c>
      <c r="B246" s="3">
        <v>18.79</v>
      </c>
      <c r="C246" s="3"/>
      <c r="D246" s="3"/>
      <c r="E246" s="3"/>
      <c r="F246" s="3">
        <v>18.79</v>
      </c>
    </row>
    <row r="247" spans="1:6" x14ac:dyDescent="0.25">
      <c r="A247" s="4" t="s">
        <v>412</v>
      </c>
      <c r="B247" s="3">
        <v>96.65</v>
      </c>
      <c r="C247" s="3">
        <v>17.62</v>
      </c>
      <c r="D247" s="3"/>
      <c r="E247" s="3"/>
      <c r="F247" s="3">
        <v>114.27000000000001</v>
      </c>
    </row>
    <row r="248" spans="1:6" x14ac:dyDescent="0.25">
      <c r="A248" s="4" t="s">
        <v>817</v>
      </c>
      <c r="B248" s="3">
        <v>67.31</v>
      </c>
      <c r="C248" s="3">
        <v>63.75</v>
      </c>
      <c r="D248" s="3">
        <v>8.5299999999999994</v>
      </c>
      <c r="E248" s="3"/>
      <c r="F248" s="3">
        <v>139.59</v>
      </c>
    </row>
    <row r="249" spans="1:6" x14ac:dyDescent="0.25">
      <c r="A249" s="4" t="s">
        <v>206</v>
      </c>
      <c r="B249" s="3">
        <v>113.1</v>
      </c>
      <c r="C249" s="3"/>
      <c r="D249" s="3"/>
      <c r="E249" s="3"/>
      <c r="F249" s="3">
        <v>113.1</v>
      </c>
    </row>
    <row r="250" spans="1:6" x14ac:dyDescent="0.25">
      <c r="A250" s="4" t="s">
        <v>113</v>
      </c>
      <c r="B250" s="3">
        <v>5.03</v>
      </c>
      <c r="C250" s="3">
        <v>39.619999999999997</v>
      </c>
      <c r="D250" s="3"/>
      <c r="E250" s="3"/>
      <c r="F250" s="3">
        <v>44.65</v>
      </c>
    </row>
    <row r="251" spans="1:6" x14ac:dyDescent="0.25">
      <c r="A251" s="4" t="s">
        <v>469</v>
      </c>
      <c r="B251" s="3">
        <v>104.53</v>
      </c>
      <c r="C251" s="3">
        <v>-51.83</v>
      </c>
      <c r="D251" s="3">
        <v>3.8</v>
      </c>
      <c r="E251" s="3"/>
      <c r="F251" s="3">
        <v>56.5</v>
      </c>
    </row>
    <row r="252" spans="1:6" x14ac:dyDescent="0.25">
      <c r="A252" s="4" t="s">
        <v>315</v>
      </c>
      <c r="B252" s="3">
        <v>48.66</v>
      </c>
      <c r="C252" s="3">
        <v>505.14</v>
      </c>
      <c r="D252" s="3">
        <v>114.02</v>
      </c>
      <c r="E252" s="3"/>
      <c r="F252" s="3">
        <v>667.81999999999994</v>
      </c>
    </row>
    <row r="253" spans="1:6" x14ac:dyDescent="0.25">
      <c r="A253" s="4" t="s">
        <v>1051</v>
      </c>
      <c r="B253" s="3">
        <v>5.63</v>
      </c>
      <c r="C253" s="3">
        <v>70.06</v>
      </c>
      <c r="D253" s="3">
        <v>43.07</v>
      </c>
      <c r="E253" s="3"/>
      <c r="F253" s="3">
        <v>118.75999999999999</v>
      </c>
    </row>
    <row r="254" spans="1:6" x14ac:dyDescent="0.25">
      <c r="A254" s="4" t="s">
        <v>1010</v>
      </c>
      <c r="B254" s="3">
        <v>12.41</v>
      </c>
      <c r="C254" s="3">
        <v>31.1</v>
      </c>
      <c r="D254" s="3"/>
      <c r="E254" s="3"/>
      <c r="F254" s="3">
        <v>43.510000000000005</v>
      </c>
    </row>
    <row r="255" spans="1:6" x14ac:dyDescent="0.25">
      <c r="A255" s="4" t="s">
        <v>291</v>
      </c>
      <c r="B255" s="3"/>
      <c r="C255" s="3"/>
      <c r="D255" s="3">
        <v>136.59</v>
      </c>
      <c r="E255" s="3"/>
      <c r="F255" s="3">
        <v>136.59</v>
      </c>
    </row>
    <row r="256" spans="1:6" x14ac:dyDescent="0.25">
      <c r="A256" s="4" t="s">
        <v>902</v>
      </c>
      <c r="B256" s="3">
        <v>16.48</v>
      </c>
      <c r="C256" s="3">
        <v>490.53</v>
      </c>
      <c r="D256" s="3"/>
      <c r="E256" s="3"/>
      <c r="F256" s="3">
        <v>507.01</v>
      </c>
    </row>
    <row r="257" spans="1:6" x14ac:dyDescent="0.25">
      <c r="A257" s="4" t="s">
        <v>421</v>
      </c>
      <c r="B257" s="3"/>
      <c r="C257" s="3">
        <v>48.82</v>
      </c>
      <c r="D257" s="3"/>
      <c r="E257" s="3"/>
      <c r="F257" s="3">
        <v>48.82</v>
      </c>
    </row>
    <row r="258" spans="1:6" x14ac:dyDescent="0.25">
      <c r="A258" s="4" t="s">
        <v>220</v>
      </c>
      <c r="B258" s="3"/>
      <c r="C258" s="3">
        <v>45.03</v>
      </c>
      <c r="D258" s="3"/>
      <c r="E258" s="3"/>
      <c r="F258" s="3">
        <v>45.03</v>
      </c>
    </row>
    <row r="259" spans="1:6" x14ac:dyDescent="0.25">
      <c r="A259" s="4" t="s">
        <v>510</v>
      </c>
      <c r="B259" s="3">
        <v>54.04</v>
      </c>
      <c r="C259" s="3">
        <v>121.31</v>
      </c>
      <c r="D259" s="3">
        <v>-113.42999999999999</v>
      </c>
      <c r="E259" s="3"/>
      <c r="F259" s="3">
        <v>61.92</v>
      </c>
    </row>
    <row r="260" spans="1:6" x14ac:dyDescent="0.25">
      <c r="A260" s="4" t="s">
        <v>441</v>
      </c>
      <c r="B260" s="3">
        <v>14.17</v>
      </c>
      <c r="C260" s="3"/>
      <c r="D260" s="3"/>
      <c r="E260" s="3"/>
      <c r="F260" s="3">
        <v>14.17</v>
      </c>
    </row>
    <row r="261" spans="1:6" x14ac:dyDescent="0.25">
      <c r="A261" s="4" t="s">
        <v>710</v>
      </c>
      <c r="B261" s="3"/>
      <c r="C261" s="3">
        <v>262.3</v>
      </c>
      <c r="D261" s="3">
        <v>81.09</v>
      </c>
      <c r="E261" s="3"/>
      <c r="F261" s="3">
        <v>343.39</v>
      </c>
    </row>
    <row r="262" spans="1:6" x14ac:dyDescent="0.25">
      <c r="A262" s="4" t="s">
        <v>135</v>
      </c>
      <c r="B262" s="3">
        <v>12.17</v>
      </c>
      <c r="C262" s="3">
        <v>9.69</v>
      </c>
      <c r="D262" s="3"/>
      <c r="E262" s="3"/>
      <c r="F262" s="3">
        <v>21.86</v>
      </c>
    </row>
    <row r="263" spans="1:6" x14ac:dyDescent="0.25">
      <c r="A263" s="4" t="s">
        <v>466</v>
      </c>
      <c r="B263" s="3">
        <v>51.26</v>
      </c>
      <c r="C263" s="3">
        <v>14.85</v>
      </c>
      <c r="D263" s="3"/>
      <c r="E263" s="3"/>
      <c r="F263" s="3">
        <v>66.11</v>
      </c>
    </row>
    <row r="264" spans="1:6" x14ac:dyDescent="0.25">
      <c r="A264" s="4" t="s">
        <v>814</v>
      </c>
      <c r="B264" s="3">
        <v>8.82</v>
      </c>
      <c r="C264" s="3">
        <v>-54.92</v>
      </c>
      <c r="D264" s="3">
        <v>174.98000000000002</v>
      </c>
      <c r="E264" s="3"/>
      <c r="F264" s="3">
        <v>128.88000000000002</v>
      </c>
    </row>
    <row r="265" spans="1:6" x14ac:dyDescent="0.25">
      <c r="A265" s="4" t="s">
        <v>342</v>
      </c>
      <c r="B265" s="3">
        <v>51.7</v>
      </c>
      <c r="C265" s="3">
        <v>34.68</v>
      </c>
      <c r="D265" s="3"/>
      <c r="E265" s="3"/>
      <c r="F265" s="3">
        <v>86.38</v>
      </c>
    </row>
    <row r="266" spans="1:6" x14ac:dyDescent="0.25">
      <c r="A266" s="4" t="s">
        <v>417</v>
      </c>
      <c r="B266" s="3">
        <v>84.08</v>
      </c>
      <c r="C266" s="3">
        <v>74.91</v>
      </c>
      <c r="D266" s="3"/>
      <c r="E266" s="3"/>
      <c r="F266" s="3">
        <v>158.99</v>
      </c>
    </row>
    <row r="267" spans="1:6" x14ac:dyDescent="0.25">
      <c r="A267" s="4" t="s">
        <v>381</v>
      </c>
      <c r="B267" s="3"/>
      <c r="C267" s="3">
        <v>7.27</v>
      </c>
      <c r="D267" s="3"/>
      <c r="E267" s="3"/>
      <c r="F267" s="3">
        <v>7.27</v>
      </c>
    </row>
    <row r="268" spans="1:6" x14ac:dyDescent="0.25">
      <c r="A268" s="4" t="s">
        <v>265</v>
      </c>
      <c r="B268" s="3">
        <v>74.12</v>
      </c>
      <c r="C268" s="3"/>
      <c r="D268" s="3">
        <v>48.8</v>
      </c>
      <c r="E268" s="3"/>
      <c r="F268" s="3">
        <v>122.92</v>
      </c>
    </row>
    <row r="269" spans="1:6" x14ac:dyDescent="0.25">
      <c r="A269" s="4" t="s">
        <v>249</v>
      </c>
      <c r="B269" s="3">
        <v>5.1000000000000014</v>
      </c>
      <c r="C269" s="3">
        <v>47.98</v>
      </c>
      <c r="D269" s="3"/>
      <c r="E269" s="3"/>
      <c r="F269" s="3">
        <v>53.08</v>
      </c>
    </row>
    <row r="270" spans="1:6" x14ac:dyDescent="0.25">
      <c r="A270" s="4" t="s">
        <v>387</v>
      </c>
      <c r="B270" s="3">
        <v>41.78</v>
      </c>
      <c r="C270" s="3">
        <v>-75.72</v>
      </c>
      <c r="D270" s="3">
        <v>10.88000000000001</v>
      </c>
      <c r="E270" s="3"/>
      <c r="F270" s="3">
        <v>-23.059999999999988</v>
      </c>
    </row>
    <row r="271" spans="1:6" x14ac:dyDescent="0.25">
      <c r="A271" s="4" t="s">
        <v>677</v>
      </c>
      <c r="B271" s="3">
        <v>6.26</v>
      </c>
      <c r="C271" s="3">
        <v>95.52000000000001</v>
      </c>
      <c r="D271" s="3"/>
      <c r="E271" s="3"/>
      <c r="F271" s="3">
        <v>101.78000000000002</v>
      </c>
    </row>
    <row r="272" spans="1:6" x14ac:dyDescent="0.25">
      <c r="A272" s="4" t="s">
        <v>251</v>
      </c>
      <c r="B272" s="3">
        <v>100.3</v>
      </c>
      <c r="C272" s="3">
        <v>449.85</v>
      </c>
      <c r="D272" s="3"/>
      <c r="E272" s="3"/>
      <c r="F272" s="3">
        <v>550.15</v>
      </c>
    </row>
    <row r="273" spans="1:6" x14ac:dyDescent="0.25">
      <c r="A273" s="4" t="s">
        <v>2060</v>
      </c>
      <c r="B273" s="3">
        <v>-16.899999999999999</v>
      </c>
      <c r="C273" s="3"/>
      <c r="D273" s="3"/>
      <c r="E273" s="3"/>
      <c r="F273" s="3">
        <v>-16.899999999999999</v>
      </c>
    </row>
    <row r="274" spans="1:6" x14ac:dyDescent="0.25">
      <c r="A274" s="4" t="s">
        <v>364</v>
      </c>
      <c r="B274" s="3"/>
      <c r="C274" s="3"/>
      <c r="D274" s="3">
        <v>9.7200000000000006</v>
      </c>
      <c r="E274" s="3"/>
      <c r="F274" s="3">
        <v>9.7200000000000006</v>
      </c>
    </row>
    <row r="275" spans="1:6" x14ac:dyDescent="0.25">
      <c r="A275" s="4" t="s">
        <v>163</v>
      </c>
      <c r="B275" s="3"/>
      <c r="C275" s="3">
        <v>55.09</v>
      </c>
      <c r="D275" s="3">
        <v>210.27</v>
      </c>
      <c r="E275" s="3"/>
      <c r="F275" s="3">
        <v>265.36</v>
      </c>
    </row>
    <row r="276" spans="1:6" x14ac:dyDescent="0.25">
      <c r="A276" s="4" t="s">
        <v>177</v>
      </c>
      <c r="B276" s="3"/>
      <c r="C276" s="3">
        <v>6.32</v>
      </c>
      <c r="D276" s="3"/>
      <c r="E276" s="3"/>
      <c r="F276" s="3">
        <v>6.32</v>
      </c>
    </row>
    <row r="277" spans="1:6" x14ac:dyDescent="0.25">
      <c r="A277" s="4" t="s">
        <v>269</v>
      </c>
      <c r="B277" s="3">
        <v>12.04</v>
      </c>
      <c r="C277" s="3">
        <v>4.72</v>
      </c>
      <c r="D277" s="3"/>
      <c r="E277" s="3"/>
      <c r="F277" s="3">
        <v>16.759999999999998</v>
      </c>
    </row>
    <row r="278" spans="1:6" x14ac:dyDescent="0.25">
      <c r="A278" s="4" t="s">
        <v>657</v>
      </c>
      <c r="B278" s="3"/>
      <c r="C278" s="3">
        <v>6.04</v>
      </c>
      <c r="D278" s="3"/>
      <c r="E278" s="3"/>
      <c r="F278" s="3">
        <v>6.04</v>
      </c>
    </row>
    <row r="279" spans="1:6" x14ac:dyDescent="0.25">
      <c r="A279" s="4" t="s">
        <v>414</v>
      </c>
      <c r="B279" s="3">
        <v>77.02</v>
      </c>
      <c r="C279" s="3"/>
      <c r="D279" s="3"/>
      <c r="E279" s="3"/>
      <c r="F279" s="3">
        <v>77.02</v>
      </c>
    </row>
    <row r="280" spans="1:6" x14ac:dyDescent="0.25">
      <c r="A280" s="4" t="s">
        <v>225</v>
      </c>
      <c r="B280" s="3">
        <v>24.62</v>
      </c>
      <c r="C280" s="3">
        <v>2.88</v>
      </c>
      <c r="D280" s="3"/>
      <c r="E280" s="3"/>
      <c r="F280" s="3">
        <v>27.5</v>
      </c>
    </row>
    <row r="281" spans="1:6" x14ac:dyDescent="0.25">
      <c r="A281" s="4" t="s">
        <v>634</v>
      </c>
      <c r="B281" s="3">
        <v>42.47</v>
      </c>
      <c r="C281" s="3">
        <v>188.17</v>
      </c>
      <c r="D281" s="3"/>
      <c r="E281" s="3"/>
      <c r="F281" s="3">
        <v>230.64</v>
      </c>
    </row>
    <row r="282" spans="1:6" x14ac:dyDescent="0.25">
      <c r="A282" s="4" t="s">
        <v>358</v>
      </c>
      <c r="B282" s="3"/>
      <c r="C282" s="3">
        <v>211.01999999999998</v>
      </c>
      <c r="D282" s="3">
        <v>258.38</v>
      </c>
      <c r="E282" s="3"/>
      <c r="F282" s="3">
        <v>469.4</v>
      </c>
    </row>
    <row r="283" spans="1:6" x14ac:dyDescent="0.25">
      <c r="A283" s="4" t="s">
        <v>1687</v>
      </c>
      <c r="B283" s="3"/>
      <c r="C283" s="3">
        <v>5.45</v>
      </c>
      <c r="D283" s="3"/>
      <c r="E283" s="3"/>
      <c r="F283" s="3">
        <v>5.45</v>
      </c>
    </row>
    <row r="284" spans="1:6" x14ac:dyDescent="0.25">
      <c r="A284" s="4" t="s">
        <v>2492</v>
      </c>
      <c r="B284" s="3">
        <v>13675.290000000003</v>
      </c>
      <c r="C284" s="3">
        <v>20922.759999999991</v>
      </c>
      <c r="D284" s="3">
        <v>7020.5800000000017</v>
      </c>
      <c r="E284" s="3">
        <v>149.38</v>
      </c>
      <c r="F284" s="3">
        <v>41768.009999999973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19230-57E8-4417-8573-A6612DAFDCA6}">
  <dimension ref="A1:B15"/>
  <sheetViews>
    <sheetView workbookViewId="0">
      <selection activeCell="C6" sqref="C6"/>
    </sheetView>
  </sheetViews>
  <sheetFormatPr defaultRowHeight="15" x14ac:dyDescent="0.25"/>
  <cols>
    <col min="1" max="1" width="18.140625" bestFit="1" customWidth="1"/>
    <col min="2" max="2" width="12" bestFit="1" customWidth="1"/>
  </cols>
  <sheetData>
    <row r="1" spans="1:2" x14ac:dyDescent="0.25">
      <c r="A1" s="7" t="s">
        <v>5</v>
      </c>
      <c r="B1" s="7"/>
    </row>
    <row r="2" spans="1:2" x14ac:dyDescent="0.25">
      <c r="A2" s="5"/>
      <c r="B2" s="5"/>
    </row>
    <row r="3" spans="1:2" x14ac:dyDescent="0.25">
      <c r="A3" s="5" t="s">
        <v>2495</v>
      </c>
      <c r="B3" s="5">
        <v>68.248382352941192</v>
      </c>
    </row>
    <row r="4" spans="1:2" x14ac:dyDescent="0.25">
      <c r="A4" s="5" t="s">
        <v>2496</v>
      </c>
      <c r="B4" s="5">
        <v>6.3526640686965514</v>
      </c>
    </row>
    <row r="5" spans="1:2" x14ac:dyDescent="0.25">
      <c r="A5" s="5" t="s">
        <v>2497</v>
      </c>
      <c r="B5" s="5">
        <v>30.925000000000001</v>
      </c>
    </row>
    <row r="6" spans="1:2" x14ac:dyDescent="0.25">
      <c r="A6" s="5" t="s">
        <v>2498</v>
      </c>
      <c r="B6" s="5">
        <v>11.85</v>
      </c>
    </row>
    <row r="7" spans="1:2" x14ac:dyDescent="0.25">
      <c r="A7" s="5" t="s">
        <v>2499</v>
      </c>
      <c r="B7" s="5">
        <v>157.15622975581155</v>
      </c>
    </row>
    <row r="8" spans="1:2" x14ac:dyDescent="0.25">
      <c r="A8" s="5" t="s">
        <v>2500</v>
      </c>
      <c r="B8" s="5">
        <v>24698.08055106143</v>
      </c>
    </row>
    <row r="9" spans="1:2" x14ac:dyDescent="0.25">
      <c r="A9" s="5" t="s">
        <v>2501</v>
      </c>
      <c r="B9" s="5">
        <v>46.816356929546863</v>
      </c>
    </row>
    <row r="10" spans="1:2" x14ac:dyDescent="0.25">
      <c r="A10" s="5" t="s">
        <v>2502</v>
      </c>
      <c r="B10" s="5">
        <v>6.1106479507464933</v>
      </c>
    </row>
    <row r="11" spans="1:2" x14ac:dyDescent="0.25">
      <c r="A11" s="5" t="s">
        <v>2503</v>
      </c>
      <c r="B11" s="5">
        <v>1866.31</v>
      </c>
    </row>
    <row r="12" spans="1:2" x14ac:dyDescent="0.25">
      <c r="A12" s="5" t="s">
        <v>2504</v>
      </c>
      <c r="B12" s="5">
        <v>-243.83</v>
      </c>
    </row>
    <row r="13" spans="1:2" x14ac:dyDescent="0.25">
      <c r="A13" s="5" t="s">
        <v>2505</v>
      </c>
      <c r="B13" s="5">
        <v>1622.48</v>
      </c>
    </row>
    <row r="14" spans="1:2" x14ac:dyDescent="0.25">
      <c r="A14" s="5" t="s">
        <v>2486</v>
      </c>
      <c r="B14" s="5">
        <v>41768.010000000009</v>
      </c>
    </row>
    <row r="15" spans="1:2" ht="15.75" thickBot="1" x14ac:dyDescent="0.3">
      <c r="A15" s="6" t="s">
        <v>2484</v>
      </c>
      <c r="B15" s="6">
        <v>612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4B9B5-C4A8-4862-8F16-6887D5BBF1EF}">
  <dimension ref="A1:W564"/>
  <sheetViews>
    <sheetView topLeftCell="S1" workbookViewId="0">
      <selection activeCell="W1" sqref="W1:W1048576"/>
    </sheetView>
  </sheetViews>
  <sheetFormatPr defaultRowHeight="15" x14ac:dyDescent="0.25"/>
  <cols>
    <col min="1" max="1" width="15.42578125" bestFit="1" customWidth="1"/>
    <col min="2" max="2" width="15.5703125" style="1" bestFit="1" customWidth="1"/>
    <col min="3" max="3" width="12.28515625" bestFit="1" customWidth="1"/>
    <col min="4" max="4" width="15.85546875" bestFit="1" customWidth="1"/>
    <col min="5" max="5" width="17.85546875" bestFit="1" customWidth="1"/>
    <col min="6" max="6" width="10.42578125" bestFit="1" customWidth="1"/>
    <col min="7" max="7" width="11.140625" bestFit="1" customWidth="1"/>
    <col min="8" max="8" width="15.7109375" bestFit="1" customWidth="1"/>
    <col min="9" max="9" width="11.7109375" bestFit="1" customWidth="1"/>
    <col min="10" max="10" width="12.5703125" bestFit="1" customWidth="1"/>
    <col min="11" max="11" width="17.7109375" bestFit="1" customWidth="1"/>
    <col min="12" max="12" width="21.5703125" bestFit="1" customWidth="1"/>
    <col min="13" max="13" width="14" bestFit="1" customWidth="1"/>
    <col min="14" max="14" width="14.140625" bestFit="1" customWidth="1"/>
    <col min="15" max="15" width="10.28515625" bestFit="1" customWidth="1"/>
    <col min="16" max="16" width="10.5703125" bestFit="1" customWidth="1"/>
    <col min="17" max="17" width="13.28515625" bestFit="1" customWidth="1"/>
    <col min="18" max="18" width="21.140625" bestFit="1" customWidth="1"/>
    <col min="19" max="19" width="28" bestFit="1" customWidth="1"/>
    <col min="20" max="20" width="11.7109375" bestFit="1" customWidth="1"/>
    <col min="21" max="21" width="9.7109375" bestFit="1" customWidth="1"/>
    <col min="22" max="22" width="44" bestFit="1" customWidth="1"/>
    <col min="23" max="23" width="16.7109375" style="1" bestFit="1" customWidth="1"/>
  </cols>
  <sheetData>
    <row r="1" spans="1:23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</row>
    <row r="2" spans="1:23" x14ac:dyDescent="0.25">
      <c r="A2" t="s">
        <v>35</v>
      </c>
      <c r="B2" s="1">
        <v>45514</v>
      </c>
      <c r="C2" t="s">
        <v>36</v>
      </c>
      <c r="D2" t="s">
        <v>37</v>
      </c>
      <c r="E2" t="s">
        <v>24</v>
      </c>
      <c r="F2">
        <v>159.55000000000001</v>
      </c>
      <c r="G2" t="s">
        <v>66</v>
      </c>
      <c r="H2">
        <v>1</v>
      </c>
      <c r="I2">
        <v>-1162428.75</v>
      </c>
      <c r="J2" t="s">
        <v>38</v>
      </c>
      <c r="K2">
        <v>1856170186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>
        <v>380312</v>
      </c>
      <c r="R2" t="s">
        <v>44</v>
      </c>
      <c r="S2" t="s">
        <v>45</v>
      </c>
      <c r="T2">
        <v>5882006077</v>
      </c>
      <c r="U2" t="s">
        <v>34</v>
      </c>
      <c r="V2" t="s">
        <v>2472</v>
      </c>
      <c r="W2" s="1">
        <v>44753</v>
      </c>
    </row>
    <row r="3" spans="1:23" x14ac:dyDescent="0.25">
      <c r="A3" t="s">
        <v>108</v>
      </c>
      <c r="B3" s="1">
        <v>45635</v>
      </c>
      <c r="C3" t="s">
        <v>109</v>
      </c>
      <c r="D3" t="s">
        <v>110</v>
      </c>
      <c r="E3" t="s">
        <v>24</v>
      </c>
      <c r="F3">
        <v>16.079999999999998</v>
      </c>
      <c r="G3" t="s">
        <v>61</v>
      </c>
      <c r="H3">
        <v>80.413300000000007</v>
      </c>
      <c r="I3">
        <v>-2783810.24</v>
      </c>
      <c r="J3" t="s">
        <v>26</v>
      </c>
      <c r="K3">
        <v>2414487847</v>
      </c>
      <c r="L3" t="s">
        <v>27</v>
      </c>
      <c r="M3" t="s">
        <v>50</v>
      </c>
      <c r="N3" t="s">
        <v>111</v>
      </c>
      <c r="O3" t="s">
        <v>30</v>
      </c>
      <c r="P3" t="s">
        <v>75</v>
      </c>
      <c r="Q3">
        <v>244894</v>
      </c>
      <c r="R3">
        <v>4819280000000000</v>
      </c>
      <c r="S3" t="s">
        <v>112</v>
      </c>
      <c r="T3">
        <v>2421026890</v>
      </c>
      <c r="U3" t="s">
        <v>34</v>
      </c>
      <c r="V3" t="s">
        <v>2473</v>
      </c>
      <c r="W3" s="1">
        <v>2023</v>
      </c>
    </row>
    <row r="4" spans="1:23" x14ac:dyDescent="0.25">
      <c r="A4" t="s">
        <v>141</v>
      </c>
      <c r="B4" s="1">
        <v>45508</v>
      </c>
      <c r="C4" t="s">
        <v>142</v>
      </c>
      <c r="D4" t="s">
        <v>143</v>
      </c>
      <c r="E4" t="s">
        <v>73</v>
      </c>
      <c r="F4">
        <v>65.069999999999993</v>
      </c>
      <c r="G4" t="s">
        <v>47</v>
      </c>
      <c r="H4">
        <v>108.1853</v>
      </c>
      <c r="I4">
        <v>-1604589.22</v>
      </c>
      <c r="J4" t="s">
        <v>91</v>
      </c>
      <c r="K4">
        <v>3427223556</v>
      </c>
      <c r="L4" t="s">
        <v>92</v>
      </c>
      <c r="M4" t="s">
        <v>83</v>
      </c>
      <c r="N4" t="s">
        <v>84</v>
      </c>
      <c r="O4" t="s">
        <v>100</v>
      </c>
      <c r="P4" t="s">
        <v>93</v>
      </c>
      <c r="Q4">
        <v>292</v>
      </c>
      <c r="R4" t="s">
        <v>144</v>
      </c>
      <c r="S4" t="s">
        <v>145</v>
      </c>
      <c r="T4">
        <v>8362382850</v>
      </c>
      <c r="U4" t="s">
        <v>34</v>
      </c>
      <c r="V4" t="s">
        <v>2473</v>
      </c>
      <c r="W4" s="1">
        <v>45809</v>
      </c>
    </row>
    <row r="5" spans="1:23" x14ac:dyDescent="0.25">
      <c r="A5" t="s">
        <v>166</v>
      </c>
      <c r="B5" s="1">
        <v>45721</v>
      </c>
      <c r="C5" t="s">
        <v>167</v>
      </c>
      <c r="D5" t="s">
        <v>104</v>
      </c>
      <c r="E5" t="s">
        <v>24</v>
      </c>
      <c r="F5">
        <v>3.35</v>
      </c>
      <c r="G5" t="s">
        <v>66</v>
      </c>
      <c r="H5">
        <v>1</v>
      </c>
      <c r="I5">
        <v>-2119765.9500000002</v>
      </c>
      <c r="J5" t="s">
        <v>98</v>
      </c>
      <c r="K5">
        <v>6495084910</v>
      </c>
      <c r="L5" t="s">
        <v>99</v>
      </c>
      <c r="M5" t="s">
        <v>121</v>
      </c>
      <c r="N5" t="s">
        <v>122</v>
      </c>
      <c r="O5" t="s">
        <v>79</v>
      </c>
      <c r="P5" t="s">
        <v>31</v>
      </c>
      <c r="Q5">
        <v>368236</v>
      </c>
      <c r="R5" t="s">
        <v>168</v>
      </c>
      <c r="S5" t="s">
        <v>169</v>
      </c>
      <c r="T5">
        <v>91534078</v>
      </c>
      <c r="U5" t="s">
        <v>34</v>
      </c>
      <c r="V5" t="s">
        <v>2474</v>
      </c>
      <c r="W5" s="1">
        <v>42709</v>
      </c>
    </row>
    <row r="6" spans="1:23" x14ac:dyDescent="0.25">
      <c r="A6" t="s">
        <v>188</v>
      </c>
      <c r="B6" s="1">
        <v>45303</v>
      </c>
      <c r="C6" t="s">
        <v>189</v>
      </c>
      <c r="D6" t="s">
        <v>190</v>
      </c>
      <c r="E6" t="s">
        <v>24</v>
      </c>
      <c r="F6">
        <v>59.08</v>
      </c>
      <c r="G6" t="s">
        <v>61</v>
      </c>
      <c r="H6">
        <v>72.008700000000005</v>
      </c>
      <c r="I6">
        <v>-160861.6</v>
      </c>
      <c r="J6" t="s">
        <v>74</v>
      </c>
      <c r="K6">
        <v>-4270275891</v>
      </c>
      <c r="L6" t="s">
        <v>105</v>
      </c>
      <c r="M6" t="s">
        <v>121</v>
      </c>
      <c r="N6" t="s">
        <v>122</v>
      </c>
      <c r="O6" t="s">
        <v>100</v>
      </c>
      <c r="P6" t="s">
        <v>43</v>
      </c>
      <c r="Q6">
        <v>779639</v>
      </c>
      <c r="R6" t="s">
        <v>191</v>
      </c>
      <c r="S6" t="s">
        <v>192</v>
      </c>
      <c r="T6">
        <v>-6268886505</v>
      </c>
      <c r="U6" t="s">
        <v>34</v>
      </c>
      <c r="V6" t="s">
        <v>2475</v>
      </c>
      <c r="W6" s="1">
        <v>2025</v>
      </c>
    </row>
    <row r="7" spans="1:23" x14ac:dyDescent="0.25">
      <c r="A7" t="s">
        <v>227</v>
      </c>
      <c r="B7" s="1">
        <v>45755</v>
      </c>
      <c r="C7" t="s">
        <v>228</v>
      </c>
      <c r="D7" t="s">
        <v>72</v>
      </c>
      <c r="E7" t="s">
        <v>73</v>
      </c>
      <c r="F7">
        <v>159.82</v>
      </c>
      <c r="G7" t="s">
        <v>61</v>
      </c>
      <c r="H7">
        <v>74.250500000000002</v>
      </c>
      <c r="I7">
        <v>-2466130.77</v>
      </c>
      <c r="J7" t="s">
        <v>62</v>
      </c>
      <c r="K7">
        <v>7401571126</v>
      </c>
      <c r="L7" t="s">
        <v>131</v>
      </c>
      <c r="M7" t="s">
        <v>50</v>
      </c>
      <c r="N7" t="s">
        <v>111</v>
      </c>
      <c r="O7" t="s">
        <v>100</v>
      </c>
      <c r="P7" t="s">
        <v>93</v>
      </c>
      <c r="Q7">
        <v>997488</v>
      </c>
      <c r="R7" t="s">
        <v>229</v>
      </c>
      <c r="S7" t="s">
        <v>230</v>
      </c>
      <c r="T7">
        <v>2549072389</v>
      </c>
      <c r="U7" t="s">
        <v>34</v>
      </c>
      <c r="V7" t="s">
        <v>2473</v>
      </c>
      <c r="W7" s="1">
        <v>43952</v>
      </c>
    </row>
    <row r="8" spans="1:23" x14ac:dyDescent="0.25">
      <c r="A8" t="s">
        <v>233</v>
      </c>
      <c r="B8" s="1">
        <v>45511</v>
      </c>
      <c r="C8" t="s">
        <v>223</v>
      </c>
      <c r="D8" t="s">
        <v>234</v>
      </c>
      <c r="E8" t="s">
        <v>55</v>
      </c>
      <c r="F8">
        <v>27.04</v>
      </c>
      <c r="G8" t="s">
        <v>56</v>
      </c>
      <c r="H8">
        <v>19.565799999999999</v>
      </c>
      <c r="I8">
        <v>-1143250.93</v>
      </c>
      <c r="J8" t="s">
        <v>98</v>
      </c>
      <c r="K8">
        <v>5491777509</v>
      </c>
      <c r="L8" t="s">
        <v>99</v>
      </c>
      <c r="M8" t="s">
        <v>57</v>
      </c>
      <c r="N8" t="s">
        <v>63</v>
      </c>
      <c r="O8" t="s">
        <v>100</v>
      </c>
      <c r="P8" t="s">
        <v>93</v>
      </c>
      <c r="Q8">
        <v>997986</v>
      </c>
      <c r="R8" t="s">
        <v>235</v>
      </c>
      <c r="S8" t="s">
        <v>236</v>
      </c>
      <c r="T8">
        <v>7445818359</v>
      </c>
      <c r="U8" t="s">
        <v>34</v>
      </c>
      <c r="V8" t="s">
        <v>2474</v>
      </c>
      <c r="W8" s="1">
        <v>43484</v>
      </c>
    </row>
    <row r="9" spans="1:23" x14ac:dyDescent="0.25">
      <c r="A9" t="s">
        <v>237</v>
      </c>
      <c r="B9" s="1">
        <v>45573</v>
      </c>
      <c r="C9" t="s">
        <v>238</v>
      </c>
      <c r="D9" t="s">
        <v>239</v>
      </c>
      <c r="E9" t="s">
        <v>55</v>
      </c>
      <c r="F9">
        <v>7.53</v>
      </c>
      <c r="G9" t="s">
        <v>66</v>
      </c>
      <c r="H9">
        <v>1</v>
      </c>
      <c r="I9">
        <v>-2625259.39</v>
      </c>
      <c r="J9" t="s">
        <v>96</v>
      </c>
      <c r="K9">
        <v>926567951</v>
      </c>
      <c r="L9" t="s">
        <v>97</v>
      </c>
      <c r="M9" t="s">
        <v>50</v>
      </c>
      <c r="N9" t="s">
        <v>111</v>
      </c>
      <c r="O9" t="s">
        <v>79</v>
      </c>
      <c r="P9" t="s">
        <v>43</v>
      </c>
      <c r="Q9">
        <v>185591</v>
      </c>
      <c r="R9" t="s">
        <v>240</v>
      </c>
      <c r="S9" t="s">
        <v>241</v>
      </c>
      <c r="T9">
        <v>3214380338</v>
      </c>
      <c r="U9" t="s">
        <v>34</v>
      </c>
      <c r="V9" t="s">
        <v>2473</v>
      </c>
      <c r="W9" s="1">
        <v>44481</v>
      </c>
    </row>
    <row r="10" spans="1:23" x14ac:dyDescent="0.25">
      <c r="A10" t="s">
        <v>259</v>
      </c>
      <c r="B10" s="1">
        <v>45510</v>
      </c>
      <c r="C10" t="s">
        <v>260</v>
      </c>
      <c r="D10" t="s">
        <v>180</v>
      </c>
      <c r="E10" t="s">
        <v>24</v>
      </c>
      <c r="F10">
        <v>31.51</v>
      </c>
      <c r="G10" t="s">
        <v>66</v>
      </c>
      <c r="H10">
        <v>1</v>
      </c>
      <c r="I10">
        <v>-2680025.7799999998</v>
      </c>
      <c r="J10" t="s">
        <v>67</v>
      </c>
      <c r="K10">
        <v>7060587348</v>
      </c>
      <c r="L10" t="s">
        <v>178</v>
      </c>
      <c r="M10" t="s">
        <v>147</v>
      </c>
      <c r="N10" t="s">
        <v>155</v>
      </c>
      <c r="O10" t="s">
        <v>30</v>
      </c>
      <c r="P10" t="s">
        <v>53</v>
      </c>
      <c r="Q10">
        <v>797517</v>
      </c>
      <c r="R10">
        <v>4393170000000000</v>
      </c>
      <c r="S10" t="s">
        <v>261</v>
      </c>
      <c r="T10">
        <v>9220254556</v>
      </c>
      <c r="U10" t="s">
        <v>34</v>
      </c>
      <c r="V10" t="s">
        <v>2476</v>
      </c>
      <c r="W10" s="1">
        <v>43132</v>
      </c>
    </row>
    <row r="11" spans="1:23" x14ac:dyDescent="0.25">
      <c r="A11" t="s">
        <v>267</v>
      </c>
      <c r="B11" s="1">
        <v>45877</v>
      </c>
      <c r="C11" t="s">
        <v>268</v>
      </c>
      <c r="D11" t="s">
        <v>269</v>
      </c>
      <c r="E11" t="s">
        <v>73</v>
      </c>
      <c r="F11">
        <v>12.04</v>
      </c>
      <c r="G11" t="s">
        <v>61</v>
      </c>
      <c r="H11">
        <v>78.308499999999995</v>
      </c>
      <c r="I11">
        <v>-1130088.71</v>
      </c>
      <c r="J11" t="s">
        <v>91</v>
      </c>
      <c r="K11">
        <v>819714338</v>
      </c>
      <c r="L11" t="s">
        <v>92</v>
      </c>
      <c r="M11" t="s">
        <v>40</v>
      </c>
      <c r="N11" t="s">
        <v>139</v>
      </c>
      <c r="O11" t="s">
        <v>52</v>
      </c>
      <c r="P11" t="s">
        <v>107</v>
      </c>
      <c r="Q11">
        <v>556317</v>
      </c>
      <c r="R11" t="s">
        <v>270</v>
      </c>
      <c r="S11" t="s">
        <v>271</v>
      </c>
      <c r="T11">
        <v>1125865267</v>
      </c>
      <c r="U11" t="s">
        <v>34</v>
      </c>
      <c r="V11" t="s">
        <v>2477</v>
      </c>
      <c r="W11" s="1">
        <v>2025</v>
      </c>
    </row>
    <row r="12" spans="1:23" x14ac:dyDescent="0.25">
      <c r="A12" t="s">
        <v>275</v>
      </c>
      <c r="B12" s="1">
        <v>45755</v>
      </c>
      <c r="C12" t="s">
        <v>276</v>
      </c>
      <c r="D12" t="s">
        <v>123</v>
      </c>
      <c r="E12" t="s">
        <v>73</v>
      </c>
      <c r="F12">
        <v>107.69</v>
      </c>
      <c r="G12" t="s">
        <v>56</v>
      </c>
      <c r="H12">
        <v>18.686800000000002</v>
      </c>
      <c r="I12">
        <v>-441532.25</v>
      </c>
      <c r="J12" t="s">
        <v>26</v>
      </c>
      <c r="K12">
        <v>9480044944</v>
      </c>
      <c r="L12" t="s">
        <v>27</v>
      </c>
      <c r="M12" t="s">
        <v>68</v>
      </c>
      <c r="N12" t="s">
        <v>277</v>
      </c>
      <c r="O12" t="s">
        <v>52</v>
      </c>
      <c r="P12" t="s">
        <v>126</v>
      </c>
      <c r="Q12">
        <v>793830</v>
      </c>
      <c r="R12" t="s">
        <v>278</v>
      </c>
      <c r="S12" t="s">
        <v>124</v>
      </c>
      <c r="T12">
        <v>8200993825</v>
      </c>
      <c r="U12" t="s">
        <v>34</v>
      </c>
      <c r="V12" t="s">
        <v>2474</v>
      </c>
      <c r="W12" s="1">
        <v>45170</v>
      </c>
    </row>
    <row r="13" spans="1:23" x14ac:dyDescent="0.25">
      <c r="A13" t="s">
        <v>282</v>
      </c>
      <c r="B13" s="1">
        <v>45812</v>
      </c>
      <c r="C13" t="s">
        <v>283</v>
      </c>
      <c r="D13" t="s">
        <v>284</v>
      </c>
      <c r="E13" t="s">
        <v>73</v>
      </c>
      <c r="F13">
        <v>10.31</v>
      </c>
      <c r="G13" t="s">
        <v>56</v>
      </c>
      <c r="H13">
        <v>19.8323</v>
      </c>
      <c r="I13">
        <v>-2867744.16</v>
      </c>
      <c r="J13" t="s">
        <v>116</v>
      </c>
      <c r="K13">
        <v>-2519914355</v>
      </c>
      <c r="L13" t="s">
        <v>134</v>
      </c>
      <c r="M13" t="s">
        <v>57</v>
      </c>
      <c r="N13" t="s">
        <v>63</v>
      </c>
      <c r="O13" t="s">
        <v>79</v>
      </c>
      <c r="P13" t="s">
        <v>71</v>
      </c>
      <c r="Q13">
        <v>697624</v>
      </c>
      <c r="R13" t="s">
        <v>285</v>
      </c>
      <c r="S13" t="s">
        <v>286</v>
      </c>
      <c r="T13">
        <v>3794661117</v>
      </c>
      <c r="U13" t="s">
        <v>34</v>
      </c>
      <c r="V13" t="s">
        <v>2476</v>
      </c>
      <c r="W13" s="1">
        <v>43922</v>
      </c>
    </row>
    <row r="14" spans="1:23" x14ac:dyDescent="0.25">
      <c r="A14" t="s">
        <v>310</v>
      </c>
      <c r="B14" s="1">
        <v>45449</v>
      </c>
      <c r="C14" t="s">
        <v>311</v>
      </c>
      <c r="D14" t="s">
        <v>312</v>
      </c>
      <c r="E14" t="s">
        <v>73</v>
      </c>
      <c r="F14">
        <v>47.4</v>
      </c>
      <c r="G14" t="s">
        <v>66</v>
      </c>
      <c r="H14">
        <v>1</v>
      </c>
      <c r="I14">
        <v>-2901112.67</v>
      </c>
      <c r="J14" t="s">
        <v>128</v>
      </c>
      <c r="K14">
        <v>8489373402</v>
      </c>
      <c r="L14" t="s">
        <v>129</v>
      </c>
      <c r="M14" t="s">
        <v>57</v>
      </c>
      <c r="N14" t="s">
        <v>58</v>
      </c>
      <c r="O14" t="s">
        <v>79</v>
      </c>
      <c r="P14" t="s">
        <v>153</v>
      </c>
      <c r="Q14">
        <v>273558</v>
      </c>
      <c r="R14">
        <v>4954390000000000</v>
      </c>
      <c r="S14" t="s">
        <v>313</v>
      </c>
      <c r="T14">
        <v>8566341611</v>
      </c>
      <c r="U14" t="s">
        <v>34</v>
      </c>
      <c r="V14" t="s">
        <v>2474</v>
      </c>
      <c r="W14" s="1">
        <v>2022</v>
      </c>
    </row>
    <row r="15" spans="1:23" x14ac:dyDescent="0.25">
      <c r="A15" t="s">
        <v>319</v>
      </c>
      <c r="B15" s="1">
        <v>45394</v>
      </c>
      <c r="C15" t="s">
        <v>320</v>
      </c>
      <c r="D15" t="s">
        <v>95</v>
      </c>
      <c r="E15" t="s">
        <v>24</v>
      </c>
      <c r="F15">
        <v>54.05</v>
      </c>
      <c r="G15" t="s">
        <v>61</v>
      </c>
      <c r="H15">
        <v>74.664000000000001</v>
      </c>
      <c r="I15">
        <v>-441485.77</v>
      </c>
      <c r="J15" t="s">
        <v>116</v>
      </c>
      <c r="K15">
        <v>6585042040</v>
      </c>
      <c r="L15" t="s">
        <v>134</v>
      </c>
      <c r="M15" t="s">
        <v>40</v>
      </c>
      <c r="N15" t="s">
        <v>139</v>
      </c>
      <c r="O15" t="s">
        <v>79</v>
      </c>
      <c r="P15" t="s">
        <v>153</v>
      </c>
      <c r="Q15">
        <v>945495</v>
      </c>
      <c r="R15" t="s">
        <v>321</v>
      </c>
      <c r="S15" t="s">
        <v>322</v>
      </c>
      <c r="T15">
        <v>6695319005</v>
      </c>
      <c r="U15" t="s">
        <v>34</v>
      </c>
      <c r="V15" t="s">
        <v>2472</v>
      </c>
      <c r="W15" s="1">
        <v>2021</v>
      </c>
    </row>
    <row r="16" spans="1:23" x14ac:dyDescent="0.25">
      <c r="A16" t="s">
        <v>324</v>
      </c>
      <c r="B16" s="1">
        <v>45323</v>
      </c>
      <c r="C16" t="s">
        <v>325</v>
      </c>
      <c r="D16" t="s">
        <v>326</v>
      </c>
      <c r="E16" t="s">
        <v>73</v>
      </c>
      <c r="F16">
        <v>66.59</v>
      </c>
      <c r="G16" t="s">
        <v>61</v>
      </c>
      <c r="H16">
        <v>82.418899999999994</v>
      </c>
      <c r="I16">
        <v>-987576.75</v>
      </c>
      <c r="J16" t="s">
        <v>98</v>
      </c>
      <c r="K16">
        <v>1461824180</v>
      </c>
      <c r="L16" t="s">
        <v>99</v>
      </c>
      <c r="M16" t="s">
        <v>57</v>
      </c>
      <c r="N16" t="s">
        <v>58</v>
      </c>
      <c r="O16" t="s">
        <v>70</v>
      </c>
      <c r="P16" t="s">
        <v>153</v>
      </c>
      <c r="Q16">
        <v>527136</v>
      </c>
      <c r="R16" t="s">
        <v>327</v>
      </c>
      <c r="S16" t="s">
        <v>328</v>
      </c>
      <c r="T16">
        <v>4213079528</v>
      </c>
      <c r="U16" t="s">
        <v>34</v>
      </c>
      <c r="V16" t="s">
        <v>2473</v>
      </c>
      <c r="W16" s="1">
        <v>45444</v>
      </c>
    </row>
    <row r="17" spans="1:23" x14ac:dyDescent="0.25">
      <c r="A17" t="s">
        <v>337</v>
      </c>
      <c r="B17" s="1">
        <v>45508</v>
      </c>
      <c r="C17" t="s">
        <v>338</v>
      </c>
      <c r="D17" t="s">
        <v>287</v>
      </c>
      <c r="E17" t="s">
        <v>55</v>
      </c>
      <c r="F17">
        <v>21.66</v>
      </c>
      <c r="G17" t="s">
        <v>61</v>
      </c>
      <c r="H17">
        <v>75.7654</v>
      </c>
      <c r="I17">
        <v>-2867026.6</v>
      </c>
      <c r="J17" t="s">
        <v>91</v>
      </c>
      <c r="K17">
        <v>4631003057</v>
      </c>
      <c r="L17" t="s">
        <v>92</v>
      </c>
      <c r="M17" t="s">
        <v>57</v>
      </c>
      <c r="N17" t="s">
        <v>58</v>
      </c>
      <c r="O17" t="s">
        <v>42</v>
      </c>
      <c r="P17" t="s">
        <v>31</v>
      </c>
      <c r="Q17">
        <v>967584</v>
      </c>
      <c r="R17" t="s">
        <v>339</v>
      </c>
      <c r="S17" t="s">
        <v>288</v>
      </c>
      <c r="T17">
        <v>2035708245</v>
      </c>
      <c r="U17" t="s">
        <v>34</v>
      </c>
      <c r="V17" t="s">
        <v>2476</v>
      </c>
      <c r="W17" s="1">
        <v>42905</v>
      </c>
    </row>
    <row r="18" spans="1:23" x14ac:dyDescent="0.25">
      <c r="A18" t="s">
        <v>340</v>
      </c>
      <c r="B18" s="1">
        <v>45628</v>
      </c>
      <c r="C18" t="s">
        <v>341</v>
      </c>
      <c r="D18" t="s">
        <v>342</v>
      </c>
      <c r="E18" t="s">
        <v>24</v>
      </c>
      <c r="F18">
        <v>17.690000000000001</v>
      </c>
      <c r="G18" t="s">
        <v>66</v>
      </c>
      <c r="H18">
        <v>1</v>
      </c>
      <c r="I18">
        <v>-440726.51</v>
      </c>
      <c r="J18" t="s">
        <v>81</v>
      </c>
      <c r="K18">
        <v>3672546618</v>
      </c>
      <c r="L18" t="s">
        <v>82</v>
      </c>
      <c r="M18" t="s">
        <v>121</v>
      </c>
      <c r="N18" t="s">
        <v>122</v>
      </c>
      <c r="O18" t="s">
        <v>100</v>
      </c>
      <c r="P18" t="s">
        <v>53</v>
      </c>
      <c r="Q18">
        <v>473052</v>
      </c>
      <c r="R18" t="s">
        <v>343</v>
      </c>
      <c r="S18" t="s">
        <v>344</v>
      </c>
      <c r="T18">
        <v>3960987836</v>
      </c>
      <c r="U18" t="s">
        <v>34</v>
      </c>
      <c r="V18" t="s">
        <v>2478</v>
      </c>
      <c r="W18" s="1">
        <v>42095</v>
      </c>
    </row>
    <row r="19" spans="1:23" x14ac:dyDescent="0.25">
      <c r="A19" t="s">
        <v>350</v>
      </c>
      <c r="B19" s="1">
        <v>45817</v>
      </c>
      <c r="C19" t="s">
        <v>351</v>
      </c>
      <c r="D19" t="s">
        <v>352</v>
      </c>
      <c r="E19" t="s">
        <v>24</v>
      </c>
      <c r="F19">
        <v>11.12</v>
      </c>
      <c r="G19" t="s">
        <v>66</v>
      </c>
      <c r="H19">
        <v>1</v>
      </c>
      <c r="I19">
        <v>-145905.97</v>
      </c>
      <c r="J19" t="s">
        <v>26</v>
      </c>
      <c r="K19">
        <v>6279424396</v>
      </c>
      <c r="L19" t="s">
        <v>27</v>
      </c>
      <c r="M19" t="s">
        <v>28</v>
      </c>
      <c r="N19" t="s">
        <v>29</v>
      </c>
      <c r="O19" t="s">
        <v>30</v>
      </c>
      <c r="P19" t="s">
        <v>43</v>
      </c>
      <c r="Q19">
        <v>676348</v>
      </c>
      <c r="R19">
        <v>4526530000000000</v>
      </c>
      <c r="S19" t="s">
        <v>353</v>
      </c>
      <c r="T19">
        <v>3718348981</v>
      </c>
      <c r="U19" t="s">
        <v>34</v>
      </c>
      <c r="V19" t="s">
        <v>2474</v>
      </c>
      <c r="W19" s="1">
        <v>42856</v>
      </c>
    </row>
    <row r="20" spans="1:23" x14ac:dyDescent="0.25">
      <c r="A20" t="s">
        <v>370</v>
      </c>
      <c r="B20" s="1">
        <v>45569</v>
      </c>
      <c r="C20" t="s">
        <v>371</v>
      </c>
      <c r="D20" t="s">
        <v>294</v>
      </c>
      <c r="E20" t="s">
        <v>73</v>
      </c>
      <c r="F20">
        <v>18.64</v>
      </c>
      <c r="G20" t="s">
        <v>66</v>
      </c>
      <c r="H20">
        <v>1</v>
      </c>
      <c r="I20">
        <v>-447389.6</v>
      </c>
      <c r="J20" t="s">
        <v>48</v>
      </c>
      <c r="K20">
        <v>8325657962</v>
      </c>
      <c r="L20" t="s">
        <v>49</v>
      </c>
      <c r="M20" t="s">
        <v>28</v>
      </c>
      <c r="N20" t="s">
        <v>119</v>
      </c>
      <c r="O20" t="s">
        <v>100</v>
      </c>
      <c r="P20" t="s">
        <v>153</v>
      </c>
      <c r="Q20">
        <v>894870</v>
      </c>
      <c r="R20" t="s">
        <v>372</v>
      </c>
      <c r="S20" t="s">
        <v>373</v>
      </c>
      <c r="T20">
        <v>-6654253102</v>
      </c>
      <c r="U20" t="s">
        <v>34</v>
      </c>
      <c r="V20" t="s">
        <v>2478</v>
      </c>
      <c r="W20" s="1">
        <v>46088</v>
      </c>
    </row>
    <row r="21" spans="1:23" x14ac:dyDescent="0.25">
      <c r="A21" t="s">
        <v>374</v>
      </c>
      <c r="B21" s="1">
        <v>45665</v>
      </c>
      <c r="C21" t="s">
        <v>375</v>
      </c>
      <c r="D21" t="s">
        <v>352</v>
      </c>
      <c r="E21" t="s">
        <v>24</v>
      </c>
      <c r="F21">
        <v>6.59</v>
      </c>
      <c r="G21" t="s">
        <v>56</v>
      </c>
      <c r="H21">
        <v>19.222300000000001</v>
      </c>
      <c r="I21">
        <v>-1198971.05</v>
      </c>
      <c r="J21" t="s">
        <v>86</v>
      </c>
      <c r="K21">
        <v>4122112592</v>
      </c>
      <c r="L21" t="s">
        <v>181</v>
      </c>
      <c r="M21" t="s">
        <v>28</v>
      </c>
      <c r="N21" t="s">
        <v>29</v>
      </c>
      <c r="O21" t="s">
        <v>79</v>
      </c>
      <c r="P21" t="s">
        <v>71</v>
      </c>
      <c r="Q21">
        <v>930974</v>
      </c>
      <c r="R21">
        <v>4632770000000000</v>
      </c>
      <c r="S21" t="s">
        <v>376</v>
      </c>
      <c r="T21">
        <v>1023428551</v>
      </c>
      <c r="U21" t="s">
        <v>34</v>
      </c>
      <c r="V21" t="s">
        <v>2474</v>
      </c>
      <c r="W21" s="1">
        <v>2020</v>
      </c>
    </row>
    <row r="22" spans="1:23" x14ac:dyDescent="0.25">
      <c r="A22" t="s">
        <v>415</v>
      </c>
      <c r="B22" s="1">
        <v>45325</v>
      </c>
      <c r="C22" t="s">
        <v>416</v>
      </c>
      <c r="D22" t="s">
        <v>417</v>
      </c>
      <c r="E22" t="s">
        <v>73</v>
      </c>
      <c r="F22">
        <v>60.97</v>
      </c>
      <c r="G22" t="s">
        <v>56</v>
      </c>
      <c r="H22">
        <v>21.896100000000001</v>
      </c>
      <c r="I22">
        <v>-2308327.41</v>
      </c>
      <c r="J22" t="s">
        <v>74</v>
      </c>
      <c r="K22">
        <v>3544832538</v>
      </c>
      <c r="L22" t="s">
        <v>105</v>
      </c>
      <c r="M22" t="s">
        <v>77</v>
      </c>
      <c r="N22" t="s">
        <v>136</v>
      </c>
      <c r="O22" t="s">
        <v>100</v>
      </c>
      <c r="P22" t="s">
        <v>75</v>
      </c>
      <c r="Q22">
        <v>940351</v>
      </c>
      <c r="R22" t="s">
        <v>418</v>
      </c>
      <c r="S22" t="s">
        <v>419</v>
      </c>
      <c r="T22">
        <v>4085364100</v>
      </c>
      <c r="U22" t="s">
        <v>34</v>
      </c>
      <c r="V22" t="s">
        <v>2472</v>
      </c>
      <c r="W22" s="1">
        <v>44682</v>
      </c>
    </row>
    <row r="23" spans="1:23" x14ac:dyDescent="0.25">
      <c r="A23" t="s">
        <v>423</v>
      </c>
      <c r="B23" s="1">
        <v>45902</v>
      </c>
      <c r="C23" t="s">
        <v>424</v>
      </c>
      <c r="D23" t="s">
        <v>379</v>
      </c>
      <c r="E23" t="s">
        <v>24</v>
      </c>
      <c r="F23">
        <v>28.79</v>
      </c>
      <c r="G23" t="s">
        <v>66</v>
      </c>
      <c r="H23">
        <v>1</v>
      </c>
      <c r="I23">
        <v>-1624756.67</v>
      </c>
      <c r="J23" t="s">
        <v>74</v>
      </c>
      <c r="K23">
        <v>7613839100</v>
      </c>
      <c r="L23" t="s">
        <v>105</v>
      </c>
      <c r="M23" t="s">
        <v>40</v>
      </c>
      <c r="N23" t="s">
        <v>41</v>
      </c>
      <c r="O23" t="s">
        <v>42</v>
      </c>
      <c r="P23" t="s">
        <v>31</v>
      </c>
      <c r="Q23">
        <v>776360</v>
      </c>
      <c r="R23" t="s">
        <v>425</v>
      </c>
      <c r="S23" t="s">
        <v>426</v>
      </c>
      <c r="T23">
        <v>-1656949152</v>
      </c>
      <c r="U23" t="s">
        <v>34</v>
      </c>
      <c r="V23" t="s">
        <v>2477</v>
      </c>
      <c r="W23" s="1">
        <v>43300</v>
      </c>
    </row>
    <row r="24" spans="1:23" x14ac:dyDescent="0.25">
      <c r="A24" t="s">
        <v>428</v>
      </c>
      <c r="B24" s="1">
        <v>45605</v>
      </c>
      <c r="C24" t="s">
        <v>429</v>
      </c>
      <c r="D24" t="s">
        <v>251</v>
      </c>
      <c r="E24" t="s">
        <v>73</v>
      </c>
      <c r="F24">
        <v>100.3</v>
      </c>
      <c r="G24" t="s">
        <v>47</v>
      </c>
      <c r="H24">
        <v>92.5715</v>
      </c>
      <c r="I24">
        <v>-2579829.9700000002</v>
      </c>
      <c r="J24" t="s">
        <v>128</v>
      </c>
      <c r="K24">
        <v>4648657834</v>
      </c>
      <c r="L24" t="s">
        <v>129</v>
      </c>
      <c r="M24" t="s">
        <v>121</v>
      </c>
      <c r="N24" t="s">
        <v>122</v>
      </c>
      <c r="O24" t="s">
        <v>42</v>
      </c>
      <c r="P24" t="s">
        <v>153</v>
      </c>
      <c r="Q24">
        <v>830492</v>
      </c>
      <c r="R24" t="s">
        <v>430</v>
      </c>
      <c r="S24" t="s">
        <v>431</v>
      </c>
      <c r="T24">
        <v>6679232630</v>
      </c>
      <c r="U24" t="s">
        <v>34</v>
      </c>
      <c r="V24" t="s">
        <v>2474</v>
      </c>
      <c r="W24" s="1">
        <v>45872</v>
      </c>
    </row>
    <row r="25" spans="1:23" x14ac:dyDescent="0.25">
      <c r="A25" t="s">
        <v>451</v>
      </c>
      <c r="B25" s="1">
        <v>45907</v>
      </c>
      <c r="C25" t="s">
        <v>452</v>
      </c>
      <c r="D25" t="s">
        <v>193</v>
      </c>
      <c r="E25" t="s">
        <v>24</v>
      </c>
      <c r="F25">
        <v>45.81</v>
      </c>
      <c r="G25" t="s">
        <v>61</v>
      </c>
      <c r="H25">
        <v>79.007499999999993</v>
      </c>
      <c r="I25">
        <v>-260514.94</v>
      </c>
      <c r="J25" t="s">
        <v>74</v>
      </c>
      <c r="K25">
        <v>1485413745</v>
      </c>
      <c r="L25" t="s">
        <v>105</v>
      </c>
      <c r="M25" t="s">
        <v>83</v>
      </c>
      <c r="N25" t="s">
        <v>84</v>
      </c>
      <c r="O25" t="s">
        <v>52</v>
      </c>
      <c r="P25" t="s">
        <v>126</v>
      </c>
      <c r="Q25">
        <v>326760</v>
      </c>
      <c r="R25" t="s">
        <v>453</v>
      </c>
      <c r="S25" t="s">
        <v>194</v>
      </c>
      <c r="T25">
        <v>5491777509</v>
      </c>
      <c r="U25" t="s">
        <v>34</v>
      </c>
      <c r="V25" t="s">
        <v>2474</v>
      </c>
      <c r="W25" s="1">
        <v>44075</v>
      </c>
    </row>
    <row r="26" spans="1:23" x14ac:dyDescent="0.25">
      <c r="A26" t="s">
        <v>457</v>
      </c>
      <c r="B26" s="1">
        <v>45150</v>
      </c>
      <c r="C26" t="s">
        <v>458</v>
      </c>
      <c r="D26" t="s">
        <v>225</v>
      </c>
      <c r="E26" t="s">
        <v>73</v>
      </c>
      <c r="F26">
        <v>24.62</v>
      </c>
      <c r="G26" t="s">
        <v>66</v>
      </c>
      <c r="H26">
        <v>1</v>
      </c>
      <c r="I26">
        <v>-1269625.44</v>
      </c>
      <c r="J26" t="s">
        <v>98</v>
      </c>
      <c r="K26">
        <v>3982669325</v>
      </c>
      <c r="L26" t="s">
        <v>99</v>
      </c>
      <c r="M26" t="s">
        <v>68</v>
      </c>
      <c r="N26" t="s">
        <v>69</v>
      </c>
      <c r="O26" t="s">
        <v>79</v>
      </c>
      <c r="P26" t="s">
        <v>31</v>
      </c>
      <c r="Q26">
        <v>372496</v>
      </c>
      <c r="R26" t="s">
        <v>459</v>
      </c>
      <c r="S26" t="s">
        <v>226</v>
      </c>
      <c r="T26">
        <v>729232379</v>
      </c>
      <c r="U26" t="s">
        <v>34</v>
      </c>
      <c r="V26" t="s">
        <v>2474</v>
      </c>
      <c r="W26" s="1">
        <v>45630</v>
      </c>
    </row>
    <row r="27" spans="1:23" x14ac:dyDescent="0.25">
      <c r="A27" t="s">
        <v>473</v>
      </c>
      <c r="B27" s="1">
        <v>45573</v>
      </c>
      <c r="C27" t="s">
        <v>474</v>
      </c>
      <c r="D27" t="s">
        <v>231</v>
      </c>
      <c r="E27" t="s">
        <v>24</v>
      </c>
      <c r="F27">
        <v>7.94</v>
      </c>
      <c r="G27" t="s">
        <v>61</v>
      </c>
      <c r="H27">
        <v>73.557000000000002</v>
      </c>
      <c r="I27">
        <v>-2775599.25</v>
      </c>
      <c r="J27" t="s">
        <v>98</v>
      </c>
      <c r="K27">
        <v>198193266</v>
      </c>
      <c r="L27" t="s">
        <v>99</v>
      </c>
      <c r="M27" t="s">
        <v>77</v>
      </c>
      <c r="N27" t="s">
        <v>136</v>
      </c>
      <c r="O27" t="s">
        <v>100</v>
      </c>
      <c r="P27" t="s">
        <v>75</v>
      </c>
      <c r="Q27">
        <v>701742</v>
      </c>
      <c r="R27" t="s">
        <v>475</v>
      </c>
      <c r="S27" t="s">
        <v>476</v>
      </c>
      <c r="T27">
        <v>8562295943</v>
      </c>
      <c r="U27" t="s">
        <v>34</v>
      </c>
      <c r="V27" t="s">
        <v>2475</v>
      </c>
      <c r="W27" s="1">
        <v>46054</v>
      </c>
    </row>
    <row r="28" spans="1:23" x14ac:dyDescent="0.25">
      <c r="A28" t="s">
        <v>477</v>
      </c>
      <c r="B28" s="1">
        <v>45963</v>
      </c>
      <c r="C28" t="s">
        <v>478</v>
      </c>
      <c r="D28" t="s">
        <v>479</v>
      </c>
      <c r="E28" t="s">
        <v>24</v>
      </c>
      <c r="F28">
        <v>48.6</v>
      </c>
      <c r="G28" t="s">
        <v>61</v>
      </c>
      <c r="H28">
        <v>74.980599999999995</v>
      </c>
      <c r="I28">
        <v>-1270951.8799999999</v>
      </c>
      <c r="J28" t="s">
        <v>62</v>
      </c>
      <c r="K28">
        <v>9185403189</v>
      </c>
      <c r="L28" t="s">
        <v>131</v>
      </c>
      <c r="M28" t="s">
        <v>57</v>
      </c>
      <c r="N28" t="s">
        <v>63</v>
      </c>
      <c r="O28" t="s">
        <v>79</v>
      </c>
      <c r="P28" t="s">
        <v>153</v>
      </c>
      <c r="Q28">
        <v>804162</v>
      </c>
      <c r="R28" t="s">
        <v>480</v>
      </c>
      <c r="S28" t="s">
        <v>481</v>
      </c>
      <c r="T28">
        <v>1720720357</v>
      </c>
      <c r="U28" t="s">
        <v>34</v>
      </c>
      <c r="V28" t="s">
        <v>2474</v>
      </c>
      <c r="W28" s="1">
        <v>2024</v>
      </c>
    </row>
    <row r="29" spans="1:23" x14ac:dyDescent="0.25">
      <c r="A29" t="s">
        <v>485</v>
      </c>
      <c r="B29" s="1">
        <v>45329</v>
      </c>
      <c r="C29" t="s">
        <v>486</v>
      </c>
      <c r="D29" t="s">
        <v>170</v>
      </c>
      <c r="E29" t="s">
        <v>73</v>
      </c>
      <c r="F29">
        <v>12.27</v>
      </c>
      <c r="G29" t="s">
        <v>61</v>
      </c>
      <c r="H29">
        <v>74.163600000000002</v>
      </c>
      <c r="I29">
        <v>-189062.22</v>
      </c>
      <c r="J29" t="s">
        <v>96</v>
      </c>
      <c r="K29">
        <v>-8692004515</v>
      </c>
      <c r="L29" t="s">
        <v>97</v>
      </c>
      <c r="M29" t="s">
        <v>77</v>
      </c>
      <c r="N29" t="s">
        <v>307</v>
      </c>
      <c r="O29" t="s">
        <v>42</v>
      </c>
      <c r="P29" t="s">
        <v>126</v>
      </c>
      <c r="Q29">
        <v>240487</v>
      </c>
      <c r="R29" t="s">
        <v>487</v>
      </c>
      <c r="S29" t="s">
        <v>488</v>
      </c>
      <c r="T29">
        <v>8537215180</v>
      </c>
      <c r="U29" t="s">
        <v>34</v>
      </c>
      <c r="V29" t="s">
        <v>2473</v>
      </c>
      <c r="W29" s="1">
        <v>2024</v>
      </c>
    </row>
    <row r="30" spans="1:23" x14ac:dyDescent="0.25">
      <c r="A30" t="s">
        <v>496</v>
      </c>
      <c r="B30" s="1">
        <v>45902</v>
      </c>
      <c r="C30" t="s">
        <v>497</v>
      </c>
      <c r="D30" t="s">
        <v>46</v>
      </c>
      <c r="E30" t="s">
        <v>73</v>
      </c>
      <c r="F30">
        <v>68.3</v>
      </c>
      <c r="G30" t="s">
        <v>61</v>
      </c>
      <c r="H30">
        <v>78.158699999999996</v>
      </c>
      <c r="I30">
        <v>-1714944.91</v>
      </c>
      <c r="J30" t="s">
        <v>98</v>
      </c>
      <c r="K30">
        <v>9160009914</v>
      </c>
      <c r="L30" t="s">
        <v>99</v>
      </c>
      <c r="M30" t="s">
        <v>87</v>
      </c>
      <c r="N30" t="s">
        <v>88</v>
      </c>
      <c r="O30" t="s">
        <v>100</v>
      </c>
      <c r="P30" t="s">
        <v>75</v>
      </c>
      <c r="Q30">
        <v>201839</v>
      </c>
      <c r="R30" t="s">
        <v>498</v>
      </c>
      <c r="S30" t="s">
        <v>499</v>
      </c>
      <c r="T30">
        <v>4831074275</v>
      </c>
      <c r="U30" t="s">
        <v>34</v>
      </c>
      <c r="V30" t="s">
        <v>2475</v>
      </c>
      <c r="W30" s="1">
        <v>2017</v>
      </c>
    </row>
    <row r="31" spans="1:23" x14ac:dyDescent="0.25">
      <c r="A31" t="s">
        <v>521</v>
      </c>
      <c r="B31" s="1">
        <v>45482</v>
      </c>
      <c r="C31" t="s">
        <v>522</v>
      </c>
      <c r="D31" t="s">
        <v>195</v>
      </c>
      <c r="E31" t="s">
        <v>24</v>
      </c>
      <c r="F31">
        <v>118.17</v>
      </c>
      <c r="G31" t="s">
        <v>47</v>
      </c>
      <c r="H31">
        <v>100.2877</v>
      </c>
      <c r="I31">
        <v>-2593163.0699999998</v>
      </c>
      <c r="J31" t="s">
        <v>86</v>
      </c>
      <c r="K31">
        <v>692479985</v>
      </c>
      <c r="L31" t="s">
        <v>181</v>
      </c>
      <c r="M31" t="s">
        <v>147</v>
      </c>
      <c r="N31" t="s">
        <v>155</v>
      </c>
      <c r="O31" t="s">
        <v>30</v>
      </c>
      <c r="P31" t="s">
        <v>53</v>
      </c>
      <c r="Q31">
        <v>307009</v>
      </c>
      <c r="R31" t="s">
        <v>523</v>
      </c>
      <c r="S31" t="s">
        <v>196</v>
      </c>
      <c r="T31">
        <v>4674364331</v>
      </c>
      <c r="U31" t="s">
        <v>34</v>
      </c>
      <c r="V31" t="s">
        <v>2477</v>
      </c>
      <c r="W31" s="1">
        <v>2022</v>
      </c>
    </row>
    <row r="32" spans="1:23" x14ac:dyDescent="0.25">
      <c r="A32" t="s">
        <v>524</v>
      </c>
      <c r="B32" s="1">
        <v>45812</v>
      </c>
      <c r="C32" t="s">
        <v>525</v>
      </c>
      <c r="D32" t="s">
        <v>296</v>
      </c>
      <c r="E32" t="s">
        <v>24</v>
      </c>
      <c r="F32">
        <v>22.73</v>
      </c>
      <c r="G32" t="s">
        <v>61</v>
      </c>
      <c r="H32">
        <v>80.423599999999993</v>
      </c>
      <c r="I32">
        <v>-1527270.05</v>
      </c>
      <c r="J32" t="s">
        <v>38</v>
      </c>
      <c r="K32">
        <v>979283937</v>
      </c>
      <c r="L32" t="s">
        <v>39</v>
      </c>
      <c r="M32" t="s">
        <v>57</v>
      </c>
      <c r="N32" t="s">
        <v>58</v>
      </c>
      <c r="O32" t="s">
        <v>30</v>
      </c>
      <c r="P32" t="s">
        <v>53</v>
      </c>
      <c r="Q32">
        <v>328206</v>
      </c>
      <c r="R32">
        <v>4121080000000000</v>
      </c>
      <c r="S32" t="s">
        <v>526</v>
      </c>
      <c r="T32">
        <v>1215429369</v>
      </c>
      <c r="U32" t="s">
        <v>34</v>
      </c>
      <c r="V32" t="s">
        <v>2473</v>
      </c>
      <c r="W32" s="1">
        <v>2023</v>
      </c>
    </row>
    <row r="33" spans="1:23" x14ac:dyDescent="0.25">
      <c r="A33" t="s">
        <v>527</v>
      </c>
      <c r="B33" s="1">
        <v>45997</v>
      </c>
      <c r="C33" t="s">
        <v>528</v>
      </c>
      <c r="D33" t="s">
        <v>483</v>
      </c>
      <c r="E33" t="s">
        <v>55</v>
      </c>
      <c r="F33">
        <v>1387.82</v>
      </c>
      <c r="G33" t="s">
        <v>66</v>
      </c>
      <c r="H33">
        <v>1</v>
      </c>
      <c r="I33">
        <v>-2624337.1</v>
      </c>
      <c r="J33" t="s">
        <v>102</v>
      </c>
      <c r="K33">
        <v>2909103842</v>
      </c>
      <c r="L33" t="s">
        <v>150</v>
      </c>
      <c r="M33" t="s">
        <v>83</v>
      </c>
      <c r="N33" t="s">
        <v>117</v>
      </c>
      <c r="O33" t="s">
        <v>42</v>
      </c>
      <c r="P33" t="s">
        <v>53</v>
      </c>
      <c r="Q33">
        <v>864053</v>
      </c>
      <c r="R33" t="s">
        <v>529</v>
      </c>
      <c r="S33" t="s">
        <v>484</v>
      </c>
      <c r="T33">
        <v>1164966567</v>
      </c>
      <c r="U33" t="s">
        <v>34</v>
      </c>
      <c r="V33" t="s">
        <v>2472</v>
      </c>
      <c r="W33" s="1">
        <v>46114</v>
      </c>
    </row>
    <row r="34" spans="1:23" x14ac:dyDescent="0.25">
      <c r="A34" t="s">
        <v>530</v>
      </c>
      <c r="B34" s="1">
        <v>45423</v>
      </c>
      <c r="C34" t="s">
        <v>531</v>
      </c>
      <c r="D34" t="s">
        <v>296</v>
      </c>
      <c r="E34" t="s">
        <v>24</v>
      </c>
      <c r="F34">
        <v>11.2</v>
      </c>
      <c r="G34" t="s">
        <v>61</v>
      </c>
      <c r="H34">
        <v>80.054599999999994</v>
      </c>
      <c r="I34">
        <v>-1077956.49</v>
      </c>
      <c r="J34" t="s">
        <v>74</v>
      </c>
      <c r="K34">
        <v>3891327919</v>
      </c>
      <c r="L34" t="s">
        <v>105</v>
      </c>
      <c r="M34" t="s">
        <v>40</v>
      </c>
      <c r="N34" t="s">
        <v>41</v>
      </c>
      <c r="O34" t="s">
        <v>42</v>
      </c>
      <c r="P34" t="s">
        <v>43</v>
      </c>
      <c r="Q34">
        <v>261423</v>
      </c>
      <c r="R34" t="s">
        <v>532</v>
      </c>
      <c r="S34" t="s">
        <v>526</v>
      </c>
      <c r="T34">
        <v>574762924</v>
      </c>
      <c r="U34" t="s">
        <v>34</v>
      </c>
      <c r="V34" t="s">
        <v>2475</v>
      </c>
      <c r="W34" s="1">
        <v>45597</v>
      </c>
    </row>
    <row r="35" spans="1:23" x14ac:dyDescent="0.25">
      <c r="A35" t="s">
        <v>549</v>
      </c>
      <c r="B35" s="1">
        <v>45781</v>
      </c>
      <c r="C35" t="s">
        <v>550</v>
      </c>
      <c r="D35" t="s">
        <v>347</v>
      </c>
      <c r="E35" t="s">
        <v>24</v>
      </c>
      <c r="F35">
        <v>36.619999999999997</v>
      </c>
      <c r="G35" t="s">
        <v>47</v>
      </c>
      <c r="H35">
        <v>90.451400000000007</v>
      </c>
      <c r="I35">
        <v>-1559861.61</v>
      </c>
      <c r="J35" t="s">
        <v>96</v>
      </c>
      <c r="K35">
        <v>6385239146</v>
      </c>
      <c r="L35" t="s">
        <v>97</v>
      </c>
      <c r="M35" t="s">
        <v>83</v>
      </c>
      <c r="N35" t="s">
        <v>117</v>
      </c>
      <c r="O35" t="s">
        <v>42</v>
      </c>
      <c r="P35" t="s">
        <v>107</v>
      </c>
      <c r="Q35">
        <v>376135</v>
      </c>
      <c r="R35" t="s">
        <v>551</v>
      </c>
      <c r="S35" t="s">
        <v>552</v>
      </c>
      <c r="T35">
        <v>1481590479</v>
      </c>
      <c r="U35" t="s">
        <v>34</v>
      </c>
      <c r="V35" t="s">
        <v>2478</v>
      </c>
      <c r="W35" s="1">
        <v>45113</v>
      </c>
    </row>
    <row r="36" spans="1:23" x14ac:dyDescent="0.25">
      <c r="A36" t="s">
        <v>563</v>
      </c>
      <c r="B36" s="1">
        <v>44997</v>
      </c>
      <c r="C36" t="s">
        <v>564</v>
      </c>
      <c r="D36" t="s">
        <v>565</v>
      </c>
      <c r="E36" t="s">
        <v>73</v>
      </c>
      <c r="F36">
        <v>137.38999999999999</v>
      </c>
      <c r="G36" t="s">
        <v>61</v>
      </c>
      <c r="H36">
        <v>77.099000000000004</v>
      </c>
      <c r="I36">
        <v>-975066.42</v>
      </c>
      <c r="J36" t="s">
        <v>48</v>
      </c>
      <c r="K36">
        <v>2028620041</v>
      </c>
      <c r="L36" t="s">
        <v>49</v>
      </c>
      <c r="M36" t="s">
        <v>40</v>
      </c>
      <c r="N36" t="s">
        <v>106</v>
      </c>
      <c r="O36" t="s">
        <v>30</v>
      </c>
      <c r="P36" t="s">
        <v>59</v>
      </c>
      <c r="Q36">
        <v>811162</v>
      </c>
      <c r="R36" t="s">
        <v>566</v>
      </c>
      <c r="S36" t="s">
        <v>567</v>
      </c>
      <c r="T36">
        <v>5078366796</v>
      </c>
      <c r="U36" t="s">
        <v>34</v>
      </c>
      <c r="V36" t="s">
        <v>2474</v>
      </c>
      <c r="W36" s="1">
        <v>43100</v>
      </c>
    </row>
    <row r="37" spans="1:23" x14ac:dyDescent="0.25">
      <c r="A37" t="s">
        <v>576</v>
      </c>
      <c r="B37" s="1">
        <v>45393</v>
      </c>
      <c r="C37" t="s">
        <v>577</v>
      </c>
      <c r="D37" t="s">
        <v>231</v>
      </c>
      <c r="E37" t="s">
        <v>55</v>
      </c>
      <c r="F37">
        <v>23.53</v>
      </c>
      <c r="G37" t="s">
        <v>47</v>
      </c>
      <c r="H37">
        <v>102.9414</v>
      </c>
      <c r="I37">
        <v>-1617365.94</v>
      </c>
      <c r="J37" t="s">
        <v>26</v>
      </c>
      <c r="K37">
        <v>8605794738</v>
      </c>
      <c r="L37" t="s">
        <v>27</v>
      </c>
      <c r="M37" t="s">
        <v>50</v>
      </c>
      <c r="N37" t="s">
        <v>51</v>
      </c>
      <c r="O37" t="s">
        <v>42</v>
      </c>
      <c r="P37" t="s">
        <v>75</v>
      </c>
      <c r="Q37">
        <v>860976</v>
      </c>
      <c r="R37">
        <v>4330800000000000</v>
      </c>
      <c r="S37" t="s">
        <v>578</v>
      </c>
      <c r="T37">
        <v>722138292</v>
      </c>
      <c r="U37" t="s">
        <v>34</v>
      </c>
      <c r="V37" t="s">
        <v>2479</v>
      </c>
      <c r="W37" s="1">
        <v>44129</v>
      </c>
    </row>
    <row r="38" spans="1:23" x14ac:dyDescent="0.25">
      <c r="A38" t="s">
        <v>584</v>
      </c>
      <c r="B38" s="1">
        <v>45723</v>
      </c>
      <c r="C38" t="s">
        <v>585</v>
      </c>
      <c r="D38" t="s">
        <v>125</v>
      </c>
      <c r="E38" t="s">
        <v>24</v>
      </c>
      <c r="F38">
        <v>535.5</v>
      </c>
      <c r="G38" t="s">
        <v>47</v>
      </c>
      <c r="H38">
        <v>93.402900000000002</v>
      </c>
      <c r="I38">
        <v>-596088.93000000005</v>
      </c>
      <c r="J38" t="s">
        <v>74</v>
      </c>
      <c r="K38">
        <v>-7725218632</v>
      </c>
      <c r="L38" t="s">
        <v>105</v>
      </c>
      <c r="M38" t="s">
        <v>28</v>
      </c>
      <c r="N38" t="s">
        <v>119</v>
      </c>
      <c r="O38" t="s">
        <v>100</v>
      </c>
      <c r="P38" t="s">
        <v>75</v>
      </c>
      <c r="Q38">
        <v>108591</v>
      </c>
      <c r="R38" t="s">
        <v>586</v>
      </c>
      <c r="S38" t="s">
        <v>127</v>
      </c>
      <c r="T38">
        <v>-8514441823</v>
      </c>
      <c r="U38" t="s">
        <v>34</v>
      </c>
      <c r="V38" t="s">
        <v>2472</v>
      </c>
      <c r="W38" s="1">
        <v>45174</v>
      </c>
    </row>
    <row r="39" spans="1:23" x14ac:dyDescent="0.25">
      <c r="A39" t="s">
        <v>590</v>
      </c>
      <c r="B39" s="1">
        <v>45571</v>
      </c>
      <c r="C39" t="s">
        <v>591</v>
      </c>
      <c r="D39" t="s">
        <v>483</v>
      </c>
      <c r="E39" t="s">
        <v>73</v>
      </c>
      <c r="F39">
        <v>66.89</v>
      </c>
      <c r="G39" t="s">
        <v>66</v>
      </c>
      <c r="H39">
        <v>1</v>
      </c>
      <c r="I39">
        <v>-2120345.2799999998</v>
      </c>
      <c r="J39" t="s">
        <v>128</v>
      </c>
      <c r="K39">
        <v>1296647719</v>
      </c>
      <c r="L39" t="s">
        <v>129</v>
      </c>
      <c r="M39" t="s">
        <v>57</v>
      </c>
      <c r="N39" t="s">
        <v>58</v>
      </c>
      <c r="O39" t="s">
        <v>42</v>
      </c>
      <c r="P39" t="s">
        <v>31</v>
      </c>
      <c r="Q39">
        <v>979349</v>
      </c>
      <c r="R39" t="s">
        <v>592</v>
      </c>
      <c r="S39" t="s">
        <v>484</v>
      </c>
      <c r="T39">
        <v>3449361920</v>
      </c>
      <c r="U39" t="s">
        <v>34</v>
      </c>
      <c r="V39" t="s">
        <v>2474</v>
      </c>
      <c r="W39" s="1">
        <v>42125</v>
      </c>
    </row>
    <row r="40" spans="1:23" x14ac:dyDescent="0.25">
      <c r="A40" t="s">
        <v>594</v>
      </c>
      <c r="B40" s="1">
        <v>44937</v>
      </c>
      <c r="C40" t="s">
        <v>595</v>
      </c>
      <c r="D40" t="s">
        <v>596</v>
      </c>
      <c r="E40" t="s">
        <v>24</v>
      </c>
      <c r="F40">
        <v>1.29</v>
      </c>
      <c r="G40" t="s">
        <v>61</v>
      </c>
      <c r="H40">
        <v>73.0852</v>
      </c>
      <c r="I40">
        <v>-2208810.7799999998</v>
      </c>
      <c r="J40" t="s">
        <v>98</v>
      </c>
      <c r="K40">
        <v>9897083696</v>
      </c>
      <c r="L40" t="s">
        <v>99</v>
      </c>
      <c r="M40" t="s">
        <v>57</v>
      </c>
      <c r="N40" t="s">
        <v>58</v>
      </c>
      <c r="O40" t="s">
        <v>52</v>
      </c>
      <c r="P40" t="s">
        <v>71</v>
      </c>
      <c r="Q40">
        <v>351300</v>
      </c>
      <c r="R40" t="s">
        <v>597</v>
      </c>
      <c r="S40" t="s">
        <v>598</v>
      </c>
      <c r="T40">
        <v>1706155698</v>
      </c>
      <c r="U40" t="s">
        <v>34</v>
      </c>
      <c r="V40" t="s">
        <v>2474</v>
      </c>
      <c r="W40" s="1">
        <v>43780</v>
      </c>
    </row>
    <row r="41" spans="1:23" x14ac:dyDescent="0.25">
      <c r="A41" t="s">
        <v>599</v>
      </c>
      <c r="B41" s="1">
        <v>45359</v>
      </c>
      <c r="C41" t="s">
        <v>600</v>
      </c>
      <c r="D41" t="s">
        <v>557</v>
      </c>
      <c r="E41" t="s">
        <v>73</v>
      </c>
      <c r="F41">
        <v>27.69</v>
      </c>
      <c r="G41" t="s">
        <v>2506</v>
      </c>
      <c r="H41">
        <v>1</v>
      </c>
      <c r="I41">
        <v>-1809022.81</v>
      </c>
      <c r="J41" t="s">
        <v>98</v>
      </c>
      <c r="K41">
        <v>1607397480</v>
      </c>
      <c r="L41" t="s">
        <v>99</v>
      </c>
      <c r="M41" t="s">
        <v>50</v>
      </c>
      <c r="N41" t="s">
        <v>51</v>
      </c>
      <c r="O41" t="s">
        <v>42</v>
      </c>
      <c r="P41" t="s">
        <v>107</v>
      </c>
      <c r="Q41">
        <v>553</v>
      </c>
      <c r="R41" t="s">
        <v>601</v>
      </c>
      <c r="S41" t="s">
        <v>602</v>
      </c>
      <c r="T41">
        <v>938399451</v>
      </c>
      <c r="U41" t="s">
        <v>34</v>
      </c>
      <c r="V41" t="s">
        <v>2477</v>
      </c>
      <c r="W41" s="1">
        <v>42644</v>
      </c>
    </row>
    <row r="42" spans="1:23" x14ac:dyDescent="0.25">
      <c r="A42" t="s">
        <v>615</v>
      </c>
      <c r="B42" s="1">
        <v>45902</v>
      </c>
      <c r="C42" t="s">
        <v>616</v>
      </c>
      <c r="D42" t="s">
        <v>609</v>
      </c>
      <c r="E42" t="s">
        <v>24</v>
      </c>
      <c r="F42">
        <v>37.67</v>
      </c>
      <c r="G42" t="s">
        <v>66</v>
      </c>
      <c r="H42">
        <v>1</v>
      </c>
      <c r="I42">
        <v>-2462531.85</v>
      </c>
      <c r="J42" t="s">
        <v>86</v>
      </c>
      <c r="K42">
        <v>4268854419</v>
      </c>
      <c r="L42" t="s">
        <v>181</v>
      </c>
      <c r="M42" t="s">
        <v>77</v>
      </c>
      <c r="N42" t="s">
        <v>78</v>
      </c>
      <c r="O42" t="s">
        <v>79</v>
      </c>
      <c r="P42" t="s">
        <v>126</v>
      </c>
      <c r="Q42">
        <v>691</v>
      </c>
      <c r="R42" t="s">
        <v>617</v>
      </c>
      <c r="S42" t="s">
        <v>618</v>
      </c>
      <c r="T42">
        <v>7071633121</v>
      </c>
      <c r="U42" t="s">
        <v>34</v>
      </c>
      <c r="V42" t="s">
        <v>2475</v>
      </c>
      <c r="W42" s="1">
        <v>2024</v>
      </c>
    </row>
    <row r="43" spans="1:23" x14ac:dyDescent="0.25">
      <c r="A43" t="s">
        <v>620</v>
      </c>
      <c r="B43" s="1">
        <v>45509</v>
      </c>
      <c r="C43" t="s">
        <v>621</v>
      </c>
      <c r="D43" t="s">
        <v>622</v>
      </c>
      <c r="E43" t="s">
        <v>55</v>
      </c>
      <c r="F43">
        <v>13.82</v>
      </c>
      <c r="G43" t="s">
        <v>66</v>
      </c>
      <c r="H43">
        <v>1</v>
      </c>
      <c r="I43">
        <v>-2119220.4300000002</v>
      </c>
      <c r="J43" t="s">
        <v>48</v>
      </c>
      <c r="K43">
        <v>6470713546</v>
      </c>
      <c r="L43" t="s">
        <v>49</v>
      </c>
      <c r="M43" t="s">
        <v>50</v>
      </c>
      <c r="N43" t="s">
        <v>111</v>
      </c>
      <c r="O43" t="s">
        <v>70</v>
      </c>
      <c r="P43" t="s">
        <v>43</v>
      </c>
      <c r="Q43">
        <v>669819</v>
      </c>
      <c r="R43" t="s">
        <v>248</v>
      </c>
      <c r="S43" t="s">
        <v>623</v>
      </c>
      <c r="T43">
        <v>7777309692</v>
      </c>
      <c r="U43" t="s">
        <v>34</v>
      </c>
      <c r="V43" t="s">
        <v>2476</v>
      </c>
      <c r="W43" s="1">
        <v>2023</v>
      </c>
    </row>
    <row r="44" spans="1:23" x14ac:dyDescent="0.25">
      <c r="A44" t="s">
        <v>627</v>
      </c>
      <c r="B44" s="1">
        <v>45907</v>
      </c>
      <c r="C44" t="s">
        <v>628</v>
      </c>
      <c r="D44" t="s">
        <v>629</v>
      </c>
      <c r="E44" t="s">
        <v>24</v>
      </c>
      <c r="F44">
        <v>84.62</v>
      </c>
      <c r="G44" t="s">
        <v>66</v>
      </c>
      <c r="H44">
        <v>1</v>
      </c>
      <c r="I44">
        <v>-155764.09</v>
      </c>
      <c r="J44" t="s">
        <v>116</v>
      </c>
      <c r="K44">
        <v>473010721</v>
      </c>
      <c r="L44" t="s">
        <v>134</v>
      </c>
      <c r="M44" t="s">
        <v>50</v>
      </c>
      <c r="N44" t="s">
        <v>51</v>
      </c>
      <c r="O44" t="s">
        <v>30</v>
      </c>
      <c r="P44" t="s">
        <v>107</v>
      </c>
      <c r="Q44">
        <v>980147</v>
      </c>
      <c r="R44" t="s">
        <v>630</v>
      </c>
      <c r="S44" t="s">
        <v>631</v>
      </c>
      <c r="T44">
        <v>4808707989</v>
      </c>
      <c r="U44" t="s">
        <v>34</v>
      </c>
      <c r="V44" t="s">
        <v>2474</v>
      </c>
      <c r="W44" s="1">
        <v>44993</v>
      </c>
    </row>
    <row r="45" spans="1:23" x14ac:dyDescent="0.25">
      <c r="A45" t="s">
        <v>639</v>
      </c>
      <c r="B45" s="1">
        <v>45117</v>
      </c>
      <c r="C45" t="s">
        <v>640</v>
      </c>
      <c r="D45" t="s">
        <v>332</v>
      </c>
      <c r="E45" t="s">
        <v>24</v>
      </c>
      <c r="F45">
        <v>4.0599999999999996</v>
      </c>
      <c r="G45" t="s">
        <v>56</v>
      </c>
      <c r="H45">
        <v>18.560199999999998</v>
      </c>
      <c r="I45">
        <v>-1150769.32</v>
      </c>
      <c r="J45" t="s">
        <v>74</v>
      </c>
      <c r="K45">
        <v>626568274</v>
      </c>
      <c r="L45" t="s">
        <v>105</v>
      </c>
      <c r="M45" t="s">
        <v>147</v>
      </c>
      <c r="N45" t="s">
        <v>148</v>
      </c>
      <c r="O45" t="s">
        <v>79</v>
      </c>
      <c r="P45" t="s">
        <v>107</v>
      </c>
      <c r="Q45">
        <v>171188</v>
      </c>
      <c r="R45" t="s">
        <v>641</v>
      </c>
      <c r="S45" t="s">
        <v>642</v>
      </c>
      <c r="T45">
        <v>8956140389</v>
      </c>
      <c r="U45" t="s">
        <v>34</v>
      </c>
      <c r="V45" t="s">
        <v>2475</v>
      </c>
      <c r="W45" s="1">
        <v>42739</v>
      </c>
    </row>
    <row r="46" spans="1:23" x14ac:dyDescent="0.25">
      <c r="A46" t="s">
        <v>651</v>
      </c>
      <c r="B46" s="1">
        <v>45871</v>
      </c>
      <c r="C46" t="s">
        <v>652</v>
      </c>
      <c r="D46" t="s">
        <v>653</v>
      </c>
      <c r="E46" t="s">
        <v>24</v>
      </c>
      <c r="F46">
        <v>64.19</v>
      </c>
      <c r="G46" t="s">
        <v>47</v>
      </c>
      <c r="H46">
        <v>105.49720000000001</v>
      </c>
      <c r="I46">
        <v>-1412394.75</v>
      </c>
      <c r="J46" t="s">
        <v>91</v>
      </c>
      <c r="K46">
        <v>8062353958</v>
      </c>
      <c r="L46" t="s">
        <v>92</v>
      </c>
      <c r="M46" t="s">
        <v>83</v>
      </c>
      <c r="N46" t="s">
        <v>84</v>
      </c>
      <c r="O46" t="s">
        <v>30</v>
      </c>
      <c r="P46" t="s">
        <v>107</v>
      </c>
      <c r="Q46">
        <v>875690</v>
      </c>
      <c r="R46" t="s">
        <v>654</v>
      </c>
      <c r="S46" t="s">
        <v>655</v>
      </c>
      <c r="T46">
        <v>8773687855</v>
      </c>
      <c r="U46" t="s">
        <v>34</v>
      </c>
      <c r="V46" t="s">
        <v>2472</v>
      </c>
      <c r="W46" s="1">
        <v>2022</v>
      </c>
    </row>
    <row r="47" spans="1:23" x14ac:dyDescent="0.25">
      <c r="A47" t="s">
        <v>663</v>
      </c>
      <c r="B47" s="1">
        <v>45150</v>
      </c>
      <c r="C47" t="s">
        <v>664</v>
      </c>
      <c r="D47" t="s">
        <v>289</v>
      </c>
      <c r="E47" t="s">
        <v>73</v>
      </c>
      <c r="F47">
        <v>10.99</v>
      </c>
      <c r="G47" t="s">
        <v>66</v>
      </c>
      <c r="H47">
        <v>1</v>
      </c>
      <c r="I47">
        <v>-1168312.2</v>
      </c>
      <c r="J47" t="s">
        <v>38</v>
      </c>
      <c r="K47">
        <v>-2033970703</v>
      </c>
      <c r="L47" t="s">
        <v>39</v>
      </c>
      <c r="M47" t="s">
        <v>50</v>
      </c>
      <c r="N47" t="s">
        <v>111</v>
      </c>
      <c r="O47" t="s">
        <v>52</v>
      </c>
      <c r="P47" t="s">
        <v>75</v>
      </c>
      <c r="Q47">
        <v>648188</v>
      </c>
      <c r="R47" t="s">
        <v>665</v>
      </c>
      <c r="S47" t="s">
        <v>290</v>
      </c>
      <c r="T47">
        <v>5522860385</v>
      </c>
      <c r="U47" t="s">
        <v>34</v>
      </c>
      <c r="V47" t="s">
        <v>2474</v>
      </c>
      <c r="W47" s="1">
        <v>45667</v>
      </c>
    </row>
    <row r="48" spans="1:23" x14ac:dyDescent="0.25">
      <c r="A48" t="s">
        <v>666</v>
      </c>
      <c r="B48" s="1">
        <v>45541</v>
      </c>
      <c r="C48" t="s">
        <v>667</v>
      </c>
      <c r="D48" t="s">
        <v>403</v>
      </c>
      <c r="E48" t="s">
        <v>73</v>
      </c>
      <c r="F48">
        <v>85.49</v>
      </c>
      <c r="G48" t="s">
        <v>61</v>
      </c>
      <c r="H48">
        <v>76.046300000000002</v>
      </c>
      <c r="I48">
        <v>-1499957.32</v>
      </c>
      <c r="J48" t="s">
        <v>116</v>
      </c>
      <c r="K48">
        <v>6662941098</v>
      </c>
      <c r="L48" t="s">
        <v>134</v>
      </c>
      <c r="M48" t="s">
        <v>121</v>
      </c>
      <c r="N48" t="s">
        <v>122</v>
      </c>
      <c r="O48" t="s">
        <v>100</v>
      </c>
      <c r="P48" t="s">
        <v>75</v>
      </c>
      <c r="Q48">
        <v>838910</v>
      </c>
      <c r="R48" t="s">
        <v>668</v>
      </c>
      <c r="S48" t="s">
        <v>468</v>
      </c>
      <c r="T48">
        <v>8714398491</v>
      </c>
      <c r="U48" t="s">
        <v>34</v>
      </c>
      <c r="V48" t="s">
        <v>2475</v>
      </c>
      <c r="W48" s="1">
        <v>43090</v>
      </c>
    </row>
    <row r="49" spans="1:23" x14ac:dyDescent="0.25">
      <c r="A49" t="s">
        <v>681</v>
      </c>
      <c r="B49" s="1">
        <v>45482</v>
      </c>
      <c r="C49" t="s">
        <v>682</v>
      </c>
      <c r="D49" t="s">
        <v>683</v>
      </c>
      <c r="E49" t="s">
        <v>24</v>
      </c>
      <c r="F49">
        <v>38.9</v>
      </c>
      <c r="G49" t="s">
        <v>66</v>
      </c>
      <c r="H49">
        <v>1</v>
      </c>
      <c r="I49">
        <v>-2825968.59</v>
      </c>
      <c r="J49" t="s">
        <v>128</v>
      </c>
      <c r="K49">
        <v>-4345759665</v>
      </c>
      <c r="L49" t="s">
        <v>129</v>
      </c>
      <c r="M49" t="s">
        <v>147</v>
      </c>
      <c r="N49" t="s">
        <v>148</v>
      </c>
      <c r="O49" t="s">
        <v>100</v>
      </c>
      <c r="P49" t="s">
        <v>75</v>
      </c>
      <c r="Q49">
        <v>316037</v>
      </c>
      <c r="R49" t="s">
        <v>684</v>
      </c>
      <c r="S49" t="s">
        <v>685</v>
      </c>
      <c r="T49">
        <v>-7664546625</v>
      </c>
      <c r="U49" t="s">
        <v>34</v>
      </c>
      <c r="V49" t="s">
        <v>2473</v>
      </c>
      <c r="W49" s="1">
        <v>44105</v>
      </c>
    </row>
    <row r="50" spans="1:23" x14ac:dyDescent="0.25">
      <c r="A50" t="s">
        <v>701</v>
      </c>
      <c r="B50" s="1">
        <v>45027</v>
      </c>
      <c r="C50" t="s">
        <v>702</v>
      </c>
      <c r="D50" t="s">
        <v>342</v>
      </c>
      <c r="E50" t="s">
        <v>24</v>
      </c>
      <c r="F50">
        <v>16.989999999999998</v>
      </c>
      <c r="G50" t="s">
        <v>47</v>
      </c>
      <c r="H50">
        <v>100.9122</v>
      </c>
      <c r="I50">
        <v>-2119965.2400000002</v>
      </c>
      <c r="J50" t="s">
        <v>62</v>
      </c>
      <c r="K50">
        <v>2401269266</v>
      </c>
      <c r="L50" t="s">
        <v>131</v>
      </c>
      <c r="M50" t="s">
        <v>87</v>
      </c>
      <c r="N50" t="s">
        <v>151</v>
      </c>
      <c r="O50" t="s">
        <v>42</v>
      </c>
      <c r="P50" t="s">
        <v>59</v>
      </c>
      <c r="Q50">
        <v>575467</v>
      </c>
      <c r="R50" t="s">
        <v>703</v>
      </c>
      <c r="S50" t="s">
        <v>344</v>
      </c>
      <c r="T50">
        <v>9758477873</v>
      </c>
      <c r="U50" t="s">
        <v>34</v>
      </c>
      <c r="V50" t="s">
        <v>2472</v>
      </c>
      <c r="W50" s="1">
        <v>43831</v>
      </c>
    </row>
    <row r="51" spans="1:23" x14ac:dyDescent="0.25">
      <c r="A51" t="s">
        <v>711</v>
      </c>
      <c r="B51" s="1">
        <v>45997</v>
      </c>
      <c r="C51" t="s">
        <v>712</v>
      </c>
      <c r="D51" t="s">
        <v>115</v>
      </c>
      <c r="E51" t="s">
        <v>55</v>
      </c>
      <c r="F51">
        <v>243.11</v>
      </c>
      <c r="G51" t="s">
        <v>56</v>
      </c>
      <c r="H51">
        <v>20.424900000000001</v>
      </c>
      <c r="I51">
        <v>-1000646.98</v>
      </c>
      <c r="J51" t="s">
        <v>98</v>
      </c>
      <c r="K51">
        <v>3666564207</v>
      </c>
      <c r="L51" t="s">
        <v>99</v>
      </c>
      <c r="M51" t="s">
        <v>87</v>
      </c>
      <c r="N51" t="s">
        <v>151</v>
      </c>
      <c r="O51" t="s">
        <v>79</v>
      </c>
      <c r="P51" t="s">
        <v>31</v>
      </c>
      <c r="Q51">
        <v>407</v>
      </c>
      <c r="R51">
        <v>4020030000000000</v>
      </c>
      <c r="S51" t="s">
        <v>713</v>
      </c>
      <c r="T51">
        <v>5731378562</v>
      </c>
      <c r="U51" t="s">
        <v>34</v>
      </c>
      <c r="V51" t="s">
        <v>2472</v>
      </c>
      <c r="W51" s="1">
        <v>2016</v>
      </c>
    </row>
    <row r="52" spans="1:23" x14ac:dyDescent="0.25">
      <c r="A52" t="s">
        <v>714</v>
      </c>
      <c r="B52" s="1">
        <v>44967</v>
      </c>
      <c r="C52" t="s">
        <v>715</v>
      </c>
      <c r="D52" t="s">
        <v>80</v>
      </c>
      <c r="E52" t="s">
        <v>24</v>
      </c>
      <c r="F52">
        <v>68.05</v>
      </c>
      <c r="G52" t="s">
        <v>66</v>
      </c>
      <c r="H52">
        <v>1</v>
      </c>
      <c r="I52">
        <v>-2681670.77</v>
      </c>
      <c r="J52" t="s">
        <v>38</v>
      </c>
      <c r="K52">
        <v>379353712</v>
      </c>
      <c r="L52" t="s">
        <v>39</v>
      </c>
      <c r="M52" t="s">
        <v>68</v>
      </c>
      <c r="N52" t="s">
        <v>69</v>
      </c>
      <c r="O52" t="s">
        <v>30</v>
      </c>
      <c r="P52" t="s">
        <v>71</v>
      </c>
      <c r="Q52">
        <v>281447</v>
      </c>
      <c r="R52" t="s">
        <v>716</v>
      </c>
      <c r="S52" t="s">
        <v>717</v>
      </c>
      <c r="T52">
        <v>8863745580</v>
      </c>
      <c r="U52" t="s">
        <v>34</v>
      </c>
      <c r="V52" t="s">
        <v>2476</v>
      </c>
      <c r="W52" s="1">
        <v>2025</v>
      </c>
    </row>
    <row r="53" spans="1:23" x14ac:dyDescent="0.25">
      <c r="A53" t="s">
        <v>719</v>
      </c>
      <c r="B53" s="1">
        <v>45576</v>
      </c>
      <c r="C53" t="s">
        <v>720</v>
      </c>
      <c r="D53" t="s">
        <v>721</v>
      </c>
      <c r="E53" t="s">
        <v>73</v>
      </c>
      <c r="F53">
        <v>51.55</v>
      </c>
      <c r="G53" t="s">
        <v>61</v>
      </c>
      <c r="H53">
        <v>82.877600000000001</v>
      </c>
      <c r="I53">
        <v>-1625157.65</v>
      </c>
      <c r="J53" t="s">
        <v>67</v>
      </c>
      <c r="K53">
        <v>8483004037</v>
      </c>
      <c r="L53" t="s">
        <v>178</v>
      </c>
      <c r="M53" t="s">
        <v>121</v>
      </c>
      <c r="N53" t="s">
        <v>122</v>
      </c>
      <c r="O53" t="s">
        <v>30</v>
      </c>
      <c r="P53" t="s">
        <v>107</v>
      </c>
      <c r="Q53">
        <v>513056</v>
      </c>
      <c r="R53" t="s">
        <v>722</v>
      </c>
      <c r="S53" t="s">
        <v>723</v>
      </c>
      <c r="T53">
        <v>6572050200</v>
      </c>
      <c r="U53" t="s">
        <v>34</v>
      </c>
      <c r="V53" t="s">
        <v>2472</v>
      </c>
      <c r="W53" s="1">
        <v>43191</v>
      </c>
    </row>
    <row r="54" spans="1:23" x14ac:dyDescent="0.25">
      <c r="A54" t="s">
        <v>726</v>
      </c>
      <c r="B54" s="1">
        <v>45749</v>
      </c>
      <c r="C54" t="s">
        <v>727</v>
      </c>
      <c r="D54" t="s">
        <v>255</v>
      </c>
      <c r="E54" t="s">
        <v>24</v>
      </c>
      <c r="F54">
        <v>97.56</v>
      </c>
      <c r="G54" t="s">
        <v>47</v>
      </c>
      <c r="H54">
        <v>109.9032</v>
      </c>
      <c r="I54">
        <v>-1713414.29</v>
      </c>
      <c r="J54" t="s">
        <v>91</v>
      </c>
      <c r="K54">
        <v>-904154154</v>
      </c>
      <c r="L54" t="s">
        <v>92</v>
      </c>
      <c r="M54" t="s">
        <v>77</v>
      </c>
      <c r="N54" t="s">
        <v>78</v>
      </c>
      <c r="O54" t="s">
        <v>79</v>
      </c>
      <c r="P54" t="s">
        <v>107</v>
      </c>
      <c r="Q54">
        <v>749008</v>
      </c>
      <c r="R54" t="s">
        <v>728</v>
      </c>
      <c r="S54" t="s">
        <v>729</v>
      </c>
      <c r="T54">
        <v>1748713151</v>
      </c>
      <c r="U54" t="s">
        <v>34</v>
      </c>
      <c r="V54" t="s">
        <v>2475</v>
      </c>
      <c r="W54" s="1">
        <v>45323</v>
      </c>
    </row>
    <row r="55" spans="1:23" x14ac:dyDescent="0.25">
      <c r="A55" t="s">
        <v>730</v>
      </c>
      <c r="B55" s="1">
        <v>45485</v>
      </c>
      <c r="C55" t="s">
        <v>731</v>
      </c>
      <c r="D55" t="s">
        <v>386</v>
      </c>
      <c r="E55" t="s">
        <v>73</v>
      </c>
      <c r="F55">
        <v>175.99</v>
      </c>
      <c r="G55" t="s">
        <v>61</v>
      </c>
      <c r="H55">
        <v>73.285700000000006</v>
      </c>
      <c r="I55">
        <v>-565027.18999999994</v>
      </c>
      <c r="J55" t="s">
        <v>48</v>
      </c>
      <c r="K55">
        <v>-1920985313</v>
      </c>
      <c r="L55" t="s">
        <v>49</v>
      </c>
      <c r="M55" t="s">
        <v>121</v>
      </c>
      <c r="N55" t="s">
        <v>213</v>
      </c>
      <c r="O55" t="s">
        <v>100</v>
      </c>
      <c r="P55" t="s">
        <v>75</v>
      </c>
      <c r="Q55">
        <v>879092</v>
      </c>
      <c r="R55" t="s">
        <v>732</v>
      </c>
      <c r="S55" t="s">
        <v>733</v>
      </c>
      <c r="T55">
        <v>-5057161852</v>
      </c>
      <c r="U55" t="s">
        <v>34</v>
      </c>
      <c r="V55" t="s">
        <v>2478</v>
      </c>
      <c r="W55" s="1">
        <v>43893</v>
      </c>
    </row>
    <row r="56" spans="1:23" x14ac:dyDescent="0.25">
      <c r="A56" t="s">
        <v>736</v>
      </c>
      <c r="B56" s="1">
        <v>45179</v>
      </c>
      <c r="C56" t="s">
        <v>737</v>
      </c>
      <c r="D56" t="s">
        <v>384</v>
      </c>
      <c r="E56" t="s">
        <v>73</v>
      </c>
      <c r="F56">
        <v>50.49</v>
      </c>
      <c r="G56" t="s">
        <v>2506</v>
      </c>
      <c r="H56">
        <v>1</v>
      </c>
      <c r="I56">
        <v>-1935286.17</v>
      </c>
      <c r="J56" t="s">
        <v>81</v>
      </c>
      <c r="K56">
        <v>1131383701</v>
      </c>
      <c r="L56" t="s">
        <v>82</v>
      </c>
      <c r="M56" t="s">
        <v>57</v>
      </c>
      <c r="N56" t="s">
        <v>58</v>
      </c>
      <c r="O56" t="s">
        <v>70</v>
      </c>
      <c r="P56" t="s">
        <v>153</v>
      </c>
      <c r="Q56">
        <v>786037</v>
      </c>
      <c r="R56" t="s">
        <v>738</v>
      </c>
      <c r="S56" t="s">
        <v>739</v>
      </c>
      <c r="T56">
        <v>5672667836</v>
      </c>
      <c r="U56" t="s">
        <v>34</v>
      </c>
      <c r="V56" t="s">
        <v>2477</v>
      </c>
      <c r="W56" s="1">
        <v>45962</v>
      </c>
    </row>
    <row r="57" spans="1:23" x14ac:dyDescent="0.25">
      <c r="A57" t="s">
        <v>743</v>
      </c>
      <c r="B57" s="1">
        <v>45353</v>
      </c>
      <c r="C57" t="s">
        <v>744</v>
      </c>
      <c r="D57" t="s">
        <v>516</v>
      </c>
      <c r="E57" t="s">
        <v>73</v>
      </c>
      <c r="F57">
        <v>48.18</v>
      </c>
      <c r="G57" t="s">
        <v>56</v>
      </c>
      <c r="H57">
        <v>21.931799999999999</v>
      </c>
      <c r="I57">
        <v>-1935763.68</v>
      </c>
      <c r="J57" t="s">
        <v>98</v>
      </c>
      <c r="K57">
        <v>8062967211</v>
      </c>
      <c r="L57" t="s">
        <v>99</v>
      </c>
      <c r="M57" t="s">
        <v>57</v>
      </c>
      <c r="N57" t="s">
        <v>58</v>
      </c>
      <c r="O57" t="s">
        <v>30</v>
      </c>
      <c r="P57" t="s">
        <v>59</v>
      </c>
      <c r="Q57">
        <v>966968</v>
      </c>
      <c r="R57" t="s">
        <v>745</v>
      </c>
      <c r="S57" t="s">
        <v>746</v>
      </c>
      <c r="T57">
        <v>7895632760</v>
      </c>
      <c r="U57" t="s">
        <v>34</v>
      </c>
      <c r="V57" t="s">
        <v>2476</v>
      </c>
      <c r="W57" s="1">
        <v>45578</v>
      </c>
    </row>
    <row r="58" spans="1:23" x14ac:dyDescent="0.25">
      <c r="A58" t="s">
        <v>748</v>
      </c>
      <c r="B58" s="1">
        <v>45870</v>
      </c>
      <c r="C58" t="s">
        <v>749</v>
      </c>
      <c r="D58" t="s">
        <v>152</v>
      </c>
      <c r="E58" t="s">
        <v>24</v>
      </c>
      <c r="F58">
        <v>27</v>
      </c>
      <c r="G58" t="s">
        <v>750</v>
      </c>
      <c r="H58">
        <v>21.054600000000001</v>
      </c>
      <c r="I58">
        <v>-2538863.4500000002</v>
      </c>
      <c r="J58" t="s">
        <v>26</v>
      </c>
      <c r="K58">
        <v>3998295820</v>
      </c>
      <c r="L58" t="s">
        <v>27</v>
      </c>
      <c r="M58" t="s">
        <v>87</v>
      </c>
      <c r="N58" t="s">
        <v>88</v>
      </c>
      <c r="O58" t="s">
        <v>70</v>
      </c>
      <c r="P58" t="s">
        <v>31</v>
      </c>
      <c r="Q58">
        <v>757616</v>
      </c>
      <c r="R58" t="s">
        <v>751</v>
      </c>
      <c r="S58" t="s">
        <v>752</v>
      </c>
      <c r="T58">
        <v>-3496755176</v>
      </c>
      <c r="U58" t="s">
        <v>34</v>
      </c>
      <c r="V58" t="s">
        <v>2472</v>
      </c>
      <c r="W58" s="1">
        <v>45597</v>
      </c>
    </row>
    <row r="59" spans="1:23" x14ac:dyDescent="0.25">
      <c r="A59" t="s">
        <v>758</v>
      </c>
      <c r="B59" s="1">
        <v>45383</v>
      </c>
      <c r="C59" t="s">
        <v>759</v>
      </c>
      <c r="D59" t="s">
        <v>760</v>
      </c>
      <c r="E59" t="s">
        <v>55</v>
      </c>
      <c r="F59">
        <v>32.79</v>
      </c>
      <c r="G59" t="s">
        <v>56</v>
      </c>
      <c r="H59">
        <v>18.556799999999999</v>
      </c>
      <c r="I59">
        <v>-2465675.9300000002</v>
      </c>
      <c r="J59" t="s">
        <v>62</v>
      </c>
      <c r="K59">
        <v>5343854970</v>
      </c>
      <c r="L59" t="s">
        <v>131</v>
      </c>
      <c r="M59" t="s">
        <v>83</v>
      </c>
      <c r="N59" t="s">
        <v>84</v>
      </c>
      <c r="O59" t="s">
        <v>100</v>
      </c>
      <c r="P59" t="s">
        <v>71</v>
      </c>
      <c r="Q59">
        <v>969246</v>
      </c>
      <c r="R59" t="s">
        <v>761</v>
      </c>
      <c r="S59" t="s">
        <v>762</v>
      </c>
      <c r="T59">
        <v>3550050105</v>
      </c>
      <c r="U59" t="s">
        <v>34</v>
      </c>
      <c r="V59" t="s">
        <v>2476</v>
      </c>
      <c r="W59" s="1">
        <v>45678</v>
      </c>
    </row>
    <row r="60" spans="1:23" x14ac:dyDescent="0.25">
      <c r="A60" t="s">
        <v>763</v>
      </c>
      <c r="B60" s="1">
        <v>45786</v>
      </c>
      <c r="C60" t="s">
        <v>764</v>
      </c>
      <c r="D60" t="s">
        <v>306</v>
      </c>
      <c r="E60" t="s">
        <v>24</v>
      </c>
      <c r="F60">
        <v>27.15</v>
      </c>
      <c r="G60" t="s">
        <v>66</v>
      </c>
      <c r="H60">
        <v>1</v>
      </c>
      <c r="I60">
        <v>-1823739.44</v>
      </c>
      <c r="J60" t="s">
        <v>74</v>
      </c>
      <c r="K60">
        <v>9918131801</v>
      </c>
      <c r="L60" t="s">
        <v>105</v>
      </c>
      <c r="M60" t="s">
        <v>57</v>
      </c>
      <c r="N60" t="s">
        <v>63</v>
      </c>
      <c r="O60" t="s">
        <v>52</v>
      </c>
      <c r="P60" t="s">
        <v>153</v>
      </c>
      <c r="Q60">
        <v>973435</v>
      </c>
      <c r="R60" t="s">
        <v>765</v>
      </c>
      <c r="S60" t="s">
        <v>766</v>
      </c>
      <c r="T60">
        <v>6197815310</v>
      </c>
      <c r="U60" t="s">
        <v>34</v>
      </c>
      <c r="V60" t="s">
        <v>2474</v>
      </c>
      <c r="W60" s="1">
        <v>42458</v>
      </c>
    </row>
    <row r="61" spans="1:23" x14ac:dyDescent="0.25">
      <c r="A61" t="s">
        <v>767</v>
      </c>
      <c r="B61" s="1">
        <v>45514</v>
      </c>
      <c r="C61" t="s">
        <v>768</v>
      </c>
      <c r="D61" t="s">
        <v>397</v>
      </c>
      <c r="E61" t="s">
        <v>73</v>
      </c>
      <c r="F61">
        <v>27.65</v>
      </c>
      <c r="G61" t="s">
        <v>61</v>
      </c>
      <c r="H61">
        <v>78.126499999999993</v>
      </c>
      <c r="I61">
        <v>-1936130.65</v>
      </c>
      <c r="J61" t="s">
        <v>98</v>
      </c>
      <c r="K61">
        <v>3958234954</v>
      </c>
      <c r="L61" t="s">
        <v>99</v>
      </c>
      <c r="M61" t="s">
        <v>40</v>
      </c>
      <c r="N61" t="s">
        <v>41</v>
      </c>
      <c r="O61" t="s">
        <v>100</v>
      </c>
      <c r="P61" t="s">
        <v>43</v>
      </c>
      <c r="Q61">
        <v>337099</v>
      </c>
      <c r="R61" t="s">
        <v>769</v>
      </c>
      <c r="S61" t="s">
        <v>770</v>
      </c>
      <c r="T61">
        <v>4401683230</v>
      </c>
      <c r="U61" t="s">
        <v>34</v>
      </c>
      <c r="V61" t="s">
        <v>2475</v>
      </c>
      <c r="W61" s="1">
        <v>2018</v>
      </c>
    </row>
    <row r="62" spans="1:23" x14ac:dyDescent="0.25">
      <c r="A62" t="s">
        <v>771</v>
      </c>
      <c r="B62" s="1">
        <v>45296</v>
      </c>
      <c r="C62" t="s">
        <v>772</v>
      </c>
      <c r="D62" t="s">
        <v>495</v>
      </c>
      <c r="E62" t="s">
        <v>24</v>
      </c>
      <c r="F62">
        <v>257.94</v>
      </c>
      <c r="G62" t="s">
        <v>66</v>
      </c>
      <c r="H62">
        <v>1</v>
      </c>
      <c r="I62">
        <v>-1143252.01</v>
      </c>
      <c r="J62" t="s">
        <v>128</v>
      </c>
      <c r="K62">
        <v>8101589662</v>
      </c>
      <c r="L62" t="s">
        <v>129</v>
      </c>
      <c r="M62" t="s">
        <v>50</v>
      </c>
      <c r="N62" t="s">
        <v>111</v>
      </c>
      <c r="O62" t="s">
        <v>70</v>
      </c>
      <c r="P62" t="s">
        <v>93</v>
      </c>
      <c r="Q62">
        <v>481052</v>
      </c>
      <c r="R62" t="s">
        <v>773</v>
      </c>
      <c r="S62" t="s">
        <v>774</v>
      </c>
      <c r="T62">
        <v>4183774386</v>
      </c>
      <c r="U62" t="s">
        <v>34</v>
      </c>
      <c r="V62" t="s">
        <v>2480</v>
      </c>
      <c r="W62" s="1">
        <v>42217</v>
      </c>
    </row>
    <row r="63" spans="1:23" x14ac:dyDescent="0.25">
      <c r="A63" t="s">
        <v>776</v>
      </c>
      <c r="B63" s="1">
        <v>45385</v>
      </c>
      <c r="C63" t="s">
        <v>777</v>
      </c>
      <c r="D63" t="s">
        <v>724</v>
      </c>
      <c r="E63" t="s">
        <v>55</v>
      </c>
      <c r="F63">
        <v>218.87</v>
      </c>
      <c r="G63" t="s">
        <v>61</v>
      </c>
      <c r="H63">
        <v>79.947100000000006</v>
      </c>
      <c r="I63">
        <v>-2772830.83</v>
      </c>
      <c r="J63" t="s">
        <v>96</v>
      </c>
      <c r="K63">
        <v>5651402185</v>
      </c>
      <c r="L63" t="s">
        <v>97</v>
      </c>
      <c r="M63" t="s">
        <v>121</v>
      </c>
      <c r="N63" t="s">
        <v>213</v>
      </c>
      <c r="O63" t="s">
        <v>30</v>
      </c>
      <c r="P63" t="s">
        <v>31</v>
      </c>
      <c r="Q63">
        <v>414210</v>
      </c>
      <c r="R63" t="s">
        <v>778</v>
      </c>
      <c r="S63" t="s">
        <v>725</v>
      </c>
      <c r="T63">
        <v>5792032988</v>
      </c>
      <c r="U63" t="s">
        <v>34</v>
      </c>
      <c r="V63" t="s">
        <v>2473</v>
      </c>
      <c r="W63" s="1">
        <v>42246</v>
      </c>
    </row>
    <row r="64" spans="1:23" x14ac:dyDescent="0.25">
      <c r="A64" t="s">
        <v>779</v>
      </c>
      <c r="B64" s="1">
        <v>45717</v>
      </c>
      <c r="C64" t="s">
        <v>780</v>
      </c>
      <c r="D64" t="s">
        <v>211</v>
      </c>
      <c r="E64" t="s">
        <v>24</v>
      </c>
      <c r="F64">
        <v>251.4</v>
      </c>
      <c r="G64" t="s">
        <v>61</v>
      </c>
      <c r="H64">
        <v>78.464399999999998</v>
      </c>
      <c r="I64">
        <v>-2867208</v>
      </c>
      <c r="J64" t="s">
        <v>98</v>
      </c>
      <c r="K64">
        <v>5010748803</v>
      </c>
      <c r="L64" t="s">
        <v>99</v>
      </c>
      <c r="M64" t="s">
        <v>87</v>
      </c>
      <c r="N64" t="s">
        <v>151</v>
      </c>
      <c r="O64" t="s">
        <v>70</v>
      </c>
      <c r="P64" t="s">
        <v>59</v>
      </c>
      <c r="Q64">
        <v>320941</v>
      </c>
      <c r="R64" t="s">
        <v>781</v>
      </c>
      <c r="S64" t="s">
        <v>212</v>
      </c>
      <c r="T64">
        <v>-9084996425</v>
      </c>
      <c r="U64" t="s">
        <v>34</v>
      </c>
      <c r="V64" t="s">
        <v>2477</v>
      </c>
      <c r="W64" s="1">
        <v>44835</v>
      </c>
    </row>
    <row r="65" spans="1:23" x14ac:dyDescent="0.25">
      <c r="A65" t="s">
        <v>789</v>
      </c>
      <c r="B65" s="1">
        <v>45756</v>
      </c>
      <c r="C65" t="s">
        <v>790</v>
      </c>
      <c r="D65" t="s">
        <v>280</v>
      </c>
      <c r="E65" t="s">
        <v>24</v>
      </c>
      <c r="F65">
        <v>43.15</v>
      </c>
      <c r="G65" t="s">
        <v>66</v>
      </c>
      <c r="H65">
        <v>1</v>
      </c>
      <c r="I65">
        <v>-1626478.47</v>
      </c>
      <c r="J65" t="s">
        <v>26</v>
      </c>
      <c r="K65">
        <v>7022703945</v>
      </c>
      <c r="L65" t="s">
        <v>27</v>
      </c>
      <c r="M65" t="s">
        <v>57</v>
      </c>
      <c r="N65" t="s">
        <v>209</v>
      </c>
      <c r="O65" t="s">
        <v>52</v>
      </c>
      <c r="P65" t="s">
        <v>75</v>
      </c>
      <c r="Q65">
        <v>767949</v>
      </c>
      <c r="R65" t="s">
        <v>791</v>
      </c>
      <c r="S65" t="s">
        <v>792</v>
      </c>
      <c r="T65">
        <v>-6363066315</v>
      </c>
      <c r="U65" t="s">
        <v>34</v>
      </c>
      <c r="V65" t="s">
        <v>2478</v>
      </c>
      <c r="W65" s="1">
        <v>42688</v>
      </c>
    </row>
    <row r="66" spans="1:23" x14ac:dyDescent="0.25">
      <c r="A66" t="s">
        <v>793</v>
      </c>
      <c r="B66" s="1">
        <v>45057</v>
      </c>
      <c r="C66" t="s">
        <v>794</v>
      </c>
      <c r="D66" t="s">
        <v>404</v>
      </c>
      <c r="E66" t="s">
        <v>55</v>
      </c>
      <c r="F66">
        <v>127.64</v>
      </c>
      <c r="G66" t="s">
        <v>66</v>
      </c>
      <c r="H66">
        <v>1</v>
      </c>
      <c r="I66">
        <v>-1412582.57</v>
      </c>
      <c r="J66" t="s">
        <v>96</v>
      </c>
      <c r="K66">
        <v>6197837551</v>
      </c>
      <c r="L66" t="s">
        <v>97</v>
      </c>
      <c r="M66" t="s">
        <v>83</v>
      </c>
      <c r="N66" t="s">
        <v>117</v>
      </c>
      <c r="O66" t="s">
        <v>42</v>
      </c>
      <c r="P66" t="s">
        <v>126</v>
      </c>
      <c r="Q66">
        <v>854117</v>
      </c>
      <c r="R66" t="s">
        <v>795</v>
      </c>
      <c r="S66" t="s">
        <v>796</v>
      </c>
      <c r="T66">
        <v>-1162316790</v>
      </c>
      <c r="U66" t="s">
        <v>34</v>
      </c>
      <c r="V66" t="s">
        <v>2478</v>
      </c>
      <c r="W66" s="1">
        <v>2021</v>
      </c>
    </row>
    <row r="67" spans="1:23" x14ac:dyDescent="0.25">
      <c r="A67" t="s">
        <v>812</v>
      </c>
      <c r="B67" s="1">
        <v>45516</v>
      </c>
      <c r="C67" t="s">
        <v>813</v>
      </c>
      <c r="D67" t="s">
        <v>814</v>
      </c>
      <c r="E67" t="s">
        <v>55</v>
      </c>
      <c r="F67">
        <v>81.790000000000006</v>
      </c>
      <c r="G67" t="s">
        <v>66</v>
      </c>
      <c r="H67">
        <v>1</v>
      </c>
      <c r="I67">
        <v>-2866496.44</v>
      </c>
      <c r="J67" t="s">
        <v>116</v>
      </c>
      <c r="K67">
        <v>7160950922</v>
      </c>
      <c r="L67" t="s">
        <v>134</v>
      </c>
      <c r="M67" t="s">
        <v>83</v>
      </c>
      <c r="N67" t="s">
        <v>117</v>
      </c>
      <c r="O67" t="s">
        <v>30</v>
      </c>
      <c r="P67" t="s">
        <v>126</v>
      </c>
      <c r="Q67">
        <v>414148</v>
      </c>
      <c r="R67">
        <v>4517480000000000</v>
      </c>
      <c r="S67" t="s">
        <v>815</v>
      </c>
      <c r="T67">
        <v>7550571496</v>
      </c>
      <c r="U67" t="s">
        <v>34</v>
      </c>
      <c r="V67" t="s">
        <v>2476</v>
      </c>
      <c r="W67" s="1">
        <v>2016</v>
      </c>
    </row>
    <row r="68" spans="1:23" x14ac:dyDescent="0.25">
      <c r="A68" t="s">
        <v>821</v>
      </c>
      <c r="B68" s="1">
        <v>45696</v>
      </c>
      <c r="C68" t="s">
        <v>822</v>
      </c>
      <c r="D68" t="s">
        <v>823</v>
      </c>
      <c r="E68" t="s">
        <v>73</v>
      </c>
      <c r="F68">
        <v>13.51</v>
      </c>
      <c r="G68" t="s">
        <v>66</v>
      </c>
      <c r="H68">
        <v>1</v>
      </c>
      <c r="I68">
        <v>-1001091.43</v>
      </c>
      <c r="J68" t="s">
        <v>48</v>
      </c>
      <c r="K68">
        <v>111597435</v>
      </c>
      <c r="L68" t="s">
        <v>49</v>
      </c>
      <c r="M68" t="s">
        <v>83</v>
      </c>
      <c r="N68" t="s">
        <v>84</v>
      </c>
      <c r="O68" t="s">
        <v>70</v>
      </c>
      <c r="P68" t="s">
        <v>43</v>
      </c>
      <c r="Q68">
        <v>958774</v>
      </c>
      <c r="R68" t="s">
        <v>824</v>
      </c>
      <c r="S68" t="s">
        <v>784</v>
      </c>
      <c r="T68">
        <v>7407949554</v>
      </c>
      <c r="U68" t="s">
        <v>34</v>
      </c>
      <c r="V68" t="s">
        <v>2472</v>
      </c>
      <c r="W68" s="1">
        <v>45627</v>
      </c>
    </row>
    <row r="69" spans="1:23" x14ac:dyDescent="0.25">
      <c r="A69" t="s">
        <v>825</v>
      </c>
      <c r="B69" s="1">
        <v>45756</v>
      </c>
      <c r="C69" t="s">
        <v>826</v>
      </c>
      <c r="D69" t="s">
        <v>208</v>
      </c>
      <c r="E69" t="s">
        <v>73</v>
      </c>
      <c r="F69">
        <v>64.53</v>
      </c>
      <c r="G69" t="s">
        <v>66</v>
      </c>
      <c r="H69">
        <v>1</v>
      </c>
      <c r="I69">
        <v>-2901462.11</v>
      </c>
      <c r="J69" t="s">
        <v>48</v>
      </c>
      <c r="K69">
        <v>709872848</v>
      </c>
      <c r="L69" t="s">
        <v>49</v>
      </c>
      <c r="M69" t="s">
        <v>68</v>
      </c>
      <c r="N69" t="s">
        <v>114</v>
      </c>
      <c r="O69" t="s">
        <v>52</v>
      </c>
      <c r="P69" t="s">
        <v>31</v>
      </c>
      <c r="Q69">
        <v>892064</v>
      </c>
      <c r="R69" t="s">
        <v>827</v>
      </c>
      <c r="S69" t="s">
        <v>828</v>
      </c>
      <c r="T69">
        <v>4561945586</v>
      </c>
      <c r="U69" t="s">
        <v>34</v>
      </c>
      <c r="V69" t="s">
        <v>2478</v>
      </c>
      <c r="W69" s="1">
        <v>44682</v>
      </c>
    </row>
    <row r="70" spans="1:23" x14ac:dyDescent="0.25">
      <c r="A70" t="s">
        <v>833</v>
      </c>
      <c r="B70" s="1">
        <v>45785</v>
      </c>
      <c r="C70" t="s">
        <v>834</v>
      </c>
      <c r="D70" t="s">
        <v>835</v>
      </c>
      <c r="E70" t="s">
        <v>73</v>
      </c>
      <c r="F70">
        <v>104.38</v>
      </c>
      <c r="G70" t="s">
        <v>47</v>
      </c>
      <c r="H70">
        <v>109.95829999999999</v>
      </c>
      <c r="I70">
        <v>-2230556.46</v>
      </c>
      <c r="J70" t="s">
        <v>74</v>
      </c>
      <c r="K70">
        <v>5788475692</v>
      </c>
      <c r="L70" t="s">
        <v>105</v>
      </c>
      <c r="M70" t="s">
        <v>57</v>
      </c>
      <c r="N70" t="s">
        <v>63</v>
      </c>
      <c r="O70" t="s">
        <v>30</v>
      </c>
      <c r="P70" t="s">
        <v>107</v>
      </c>
      <c r="Q70">
        <v>513083</v>
      </c>
      <c r="R70">
        <v>4594080000000000</v>
      </c>
      <c r="S70" t="s">
        <v>836</v>
      </c>
      <c r="T70">
        <v>8578392034</v>
      </c>
      <c r="U70" t="s">
        <v>34</v>
      </c>
      <c r="V70" t="s">
        <v>2474</v>
      </c>
      <c r="W70" s="1">
        <v>42856</v>
      </c>
    </row>
    <row r="71" spans="1:23" x14ac:dyDescent="0.25">
      <c r="A71" t="s">
        <v>850</v>
      </c>
      <c r="B71" s="1">
        <v>45812</v>
      </c>
      <c r="C71" t="s">
        <v>851</v>
      </c>
      <c r="D71" t="s">
        <v>306</v>
      </c>
      <c r="E71" t="s">
        <v>73</v>
      </c>
      <c r="F71">
        <v>27.76</v>
      </c>
      <c r="G71" t="s">
        <v>47</v>
      </c>
      <c r="H71">
        <v>109.2437</v>
      </c>
      <c r="I71">
        <v>-594004.77</v>
      </c>
      <c r="J71" t="s">
        <v>38</v>
      </c>
      <c r="K71">
        <v>4979069248</v>
      </c>
      <c r="L71" t="s">
        <v>39</v>
      </c>
      <c r="M71" t="s">
        <v>87</v>
      </c>
      <c r="N71" t="s">
        <v>151</v>
      </c>
      <c r="O71" t="s">
        <v>52</v>
      </c>
      <c r="P71" t="s">
        <v>43</v>
      </c>
      <c r="Q71">
        <v>777160</v>
      </c>
      <c r="R71">
        <v>4857790000000000</v>
      </c>
      <c r="S71" t="s">
        <v>852</v>
      </c>
      <c r="T71">
        <v>8529116679</v>
      </c>
      <c r="U71" t="s">
        <v>34</v>
      </c>
      <c r="V71" t="s">
        <v>2474</v>
      </c>
      <c r="W71" s="1">
        <v>45938</v>
      </c>
    </row>
    <row r="72" spans="1:23" x14ac:dyDescent="0.25">
      <c r="A72" t="s">
        <v>860</v>
      </c>
      <c r="B72" s="1">
        <v>45631</v>
      </c>
      <c r="C72" t="s">
        <v>861</v>
      </c>
      <c r="D72" t="s">
        <v>115</v>
      </c>
      <c r="E72" t="s">
        <v>24</v>
      </c>
      <c r="F72">
        <v>13.12</v>
      </c>
      <c r="G72" t="s">
        <v>66</v>
      </c>
      <c r="H72">
        <v>1</v>
      </c>
      <c r="I72">
        <v>-2582385.23</v>
      </c>
      <c r="J72" t="s">
        <v>81</v>
      </c>
      <c r="K72">
        <v>-444338102</v>
      </c>
      <c r="L72" t="s">
        <v>82</v>
      </c>
      <c r="M72" t="s">
        <v>87</v>
      </c>
      <c r="N72" t="s">
        <v>151</v>
      </c>
      <c r="O72" t="s">
        <v>30</v>
      </c>
      <c r="P72" t="s">
        <v>59</v>
      </c>
      <c r="Q72">
        <v>343243</v>
      </c>
      <c r="R72" t="s">
        <v>862</v>
      </c>
      <c r="S72" t="s">
        <v>863</v>
      </c>
      <c r="T72">
        <v>3934311498</v>
      </c>
      <c r="U72" t="s">
        <v>34</v>
      </c>
      <c r="V72" t="s">
        <v>2474</v>
      </c>
      <c r="W72" s="1">
        <v>2022</v>
      </c>
    </row>
    <row r="73" spans="1:23" x14ac:dyDescent="0.25">
      <c r="A73" t="s">
        <v>865</v>
      </c>
      <c r="B73" s="1">
        <v>45241</v>
      </c>
      <c r="C73" t="s">
        <v>866</v>
      </c>
      <c r="D73" t="s">
        <v>648</v>
      </c>
      <c r="E73" t="s">
        <v>73</v>
      </c>
      <c r="F73">
        <v>34.869999999999997</v>
      </c>
      <c r="G73" t="s">
        <v>56</v>
      </c>
      <c r="H73">
        <v>18.395099999999999</v>
      </c>
      <c r="I73">
        <v>-2901701.27</v>
      </c>
      <c r="J73" t="s">
        <v>116</v>
      </c>
      <c r="K73">
        <v>7203446344</v>
      </c>
      <c r="L73" t="s">
        <v>134</v>
      </c>
      <c r="M73" t="s">
        <v>28</v>
      </c>
      <c r="N73" t="s">
        <v>29</v>
      </c>
      <c r="O73" t="s">
        <v>100</v>
      </c>
      <c r="P73" t="s">
        <v>71</v>
      </c>
      <c r="Q73">
        <v>427082</v>
      </c>
      <c r="R73" t="s">
        <v>867</v>
      </c>
      <c r="S73" t="s">
        <v>838</v>
      </c>
      <c r="T73">
        <v>8768624264</v>
      </c>
      <c r="U73" t="s">
        <v>34</v>
      </c>
      <c r="V73" t="s">
        <v>2475</v>
      </c>
      <c r="W73" s="1">
        <v>2021</v>
      </c>
    </row>
    <row r="74" spans="1:23" x14ac:dyDescent="0.25">
      <c r="A74" t="s">
        <v>868</v>
      </c>
      <c r="B74" s="1">
        <v>45963</v>
      </c>
      <c r="C74" t="s">
        <v>338</v>
      </c>
      <c r="D74" t="s">
        <v>176</v>
      </c>
      <c r="E74" t="s">
        <v>24</v>
      </c>
      <c r="F74">
        <v>20</v>
      </c>
      <c r="G74" t="s">
        <v>61</v>
      </c>
      <c r="H74">
        <v>81.117900000000006</v>
      </c>
      <c r="I74">
        <v>-2913130.99</v>
      </c>
      <c r="J74" t="s">
        <v>96</v>
      </c>
      <c r="K74">
        <v>2143674865</v>
      </c>
      <c r="L74" t="s">
        <v>97</v>
      </c>
      <c r="M74" t="s">
        <v>57</v>
      </c>
      <c r="N74" t="s">
        <v>58</v>
      </c>
      <c r="O74" t="s">
        <v>42</v>
      </c>
      <c r="P74" t="s">
        <v>126</v>
      </c>
      <c r="Q74">
        <v>858318</v>
      </c>
      <c r="R74" t="s">
        <v>869</v>
      </c>
      <c r="S74" t="s">
        <v>870</v>
      </c>
      <c r="T74">
        <v>-6731174457</v>
      </c>
      <c r="U74" t="s">
        <v>34</v>
      </c>
      <c r="V74" t="s">
        <v>2474</v>
      </c>
      <c r="W74" s="1">
        <v>42339</v>
      </c>
    </row>
    <row r="75" spans="1:23" x14ac:dyDescent="0.25">
      <c r="A75" t="s">
        <v>873</v>
      </c>
      <c r="B75" s="1">
        <v>45452</v>
      </c>
      <c r="C75" t="s">
        <v>874</v>
      </c>
      <c r="D75" t="s">
        <v>299</v>
      </c>
      <c r="E75" t="s">
        <v>73</v>
      </c>
      <c r="F75">
        <v>44.67</v>
      </c>
      <c r="G75" t="s">
        <v>47</v>
      </c>
      <c r="H75">
        <v>101.8085</v>
      </c>
      <c r="I75">
        <v>-529548.94999999995</v>
      </c>
      <c r="J75" t="s">
        <v>98</v>
      </c>
      <c r="K75">
        <v>8010594050</v>
      </c>
      <c r="L75" t="s">
        <v>99</v>
      </c>
      <c r="M75" t="s">
        <v>50</v>
      </c>
      <c r="N75" t="s">
        <v>51</v>
      </c>
      <c r="O75" t="s">
        <v>70</v>
      </c>
      <c r="P75" t="s">
        <v>53</v>
      </c>
      <c r="Q75">
        <v>110763</v>
      </c>
      <c r="R75" t="s">
        <v>875</v>
      </c>
      <c r="S75" t="s">
        <v>876</v>
      </c>
      <c r="T75">
        <v>4592546887</v>
      </c>
      <c r="U75" t="s">
        <v>34</v>
      </c>
      <c r="V75" t="s">
        <v>2477</v>
      </c>
      <c r="W75" s="1">
        <v>42699</v>
      </c>
    </row>
    <row r="76" spans="1:23" x14ac:dyDescent="0.25">
      <c r="A76" t="s">
        <v>878</v>
      </c>
      <c r="B76" s="1">
        <v>45630</v>
      </c>
      <c r="C76" t="s">
        <v>879</v>
      </c>
      <c r="D76" t="s">
        <v>133</v>
      </c>
      <c r="E76" t="s">
        <v>24</v>
      </c>
      <c r="F76">
        <v>88.65</v>
      </c>
      <c r="G76" t="s">
        <v>56</v>
      </c>
      <c r="H76">
        <v>20.904399999999999</v>
      </c>
      <c r="I76">
        <v>-2913100.33</v>
      </c>
      <c r="J76" t="s">
        <v>26</v>
      </c>
      <c r="K76">
        <v>578769294</v>
      </c>
      <c r="L76" t="s">
        <v>27</v>
      </c>
      <c r="M76" t="s">
        <v>83</v>
      </c>
      <c r="N76" t="s">
        <v>117</v>
      </c>
      <c r="O76" t="s">
        <v>79</v>
      </c>
      <c r="P76" t="s">
        <v>53</v>
      </c>
      <c r="Q76">
        <v>517564</v>
      </c>
      <c r="R76" t="s">
        <v>880</v>
      </c>
      <c r="S76" t="s">
        <v>881</v>
      </c>
      <c r="T76">
        <v>5745948570</v>
      </c>
      <c r="U76" t="s">
        <v>34</v>
      </c>
      <c r="V76" t="s">
        <v>2475</v>
      </c>
      <c r="W76" s="1">
        <v>2025</v>
      </c>
    </row>
    <row r="77" spans="1:23" x14ac:dyDescent="0.25">
      <c r="A77" t="s">
        <v>887</v>
      </c>
      <c r="B77" s="1">
        <v>45417</v>
      </c>
      <c r="C77" t="s">
        <v>888</v>
      </c>
      <c r="D77" t="s">
        <v>417</v>
      </c>
      <c r="E77" t="s">
        <v>73</v>
      </c>
      <c r="F77">
        <v>23.11</v>
      </c>
      <c r="G77" t="s">
        <v>56</v>
      </c>
      <c r="H77">
        <v>19.677</v>
      </c>
      <c r="I77">
        <v>-1558047.91</v>
      </c>
      <c r="J77" t="s">
        <v>128</v>
      </c>
      <c r="K77">
        <v>859511226</v>
      </c>
      <c r="L77" t="s">
        <v>129</v>
      </c>
      <c r="M77" t="s">
        <v>83</v>
      </c>
      <c r="N77" t="s">
        <v>84</v>
      </c>
      <c r="O77" t="s">
        <v>70</v>
      </c>
      <c r="P77" t="s">
        <v>31</v>
      </c>
      <c r="Q77">
        <v>640884</v>
      </c>
      <c r="R77" t="s">
        <v>889</v>
      </c>
      <c r="S77" t="s">
        <v>890</v>
      </c>
      <c r="T77">
        <v>6268860888</v>
      </c>
      <c r="U77" t="s">
        <v>34</v>
      </c>
      <c r="V77" t="s">
        <v>2473</v>
      </c>
      <c r="W77" s="1">
        <v>42125</v>
      </c>
    </row>
    <row r="78" spans="1:23" x14ac:dyDescent="0.25">
      <c r="A78" t="s">
        <v>891</v>
      </c>
      <c r="B78" s="1">
        <v>45752</v>
      </c>
      <c r="C78" t="s">
        <v>892</v>
      </c>
      <c r="D78" t="s">
        <v>581</v>
      </c>
      <c r="E78" t="s">
        <v>55</v>
      </c>
      <c r="F78">
        <v>29.21</v>
      </c>
      <c r="G78" t="s">
        <v>56</v>
      </c>
      <c r="H78">
        <v>19.315999999999999</v>
      </c>
      <c r="I78">
        <v>-1143237.4099999999</v>
      </c>
      <c r="J78" t="s">
        <v>62</v>
      </c>
      <c r="K78">
        <v>-3654906349</v>
      </c>
      <c r="L78" t="s">
        <v>131</v>
      </c>
      <c r="M78" t="s">
        <v>147</v>
      </c>
      <c r="N78" t="s">
        <v>148</v>
      </c>
      <c r="O78" t="s">
        <v>70</v>
      </c>
      <c r="P78" t="s">
        <v>59</v>
      </c>
      <c r="Q78">
        <v>840095</v>
      </c>
      <c r="R78" t="s">
        <v>893</v>
      </c>
      <c r="S78" t="s">
        <v>894</v>
      </c>
      <c r="T78">
        <v>1838098350</v>
      </c>
      <c r="U78" t="s">
        <v>34</v>
      </c>
      <c r="V78" t="s">
        <v>2474</v>
      </c>
      <c r="W78" s="1">
        <v>2022</v>
      </c>
    </row>
    <row r="79" spans="1:23" x14ac:dyDescent="0.25">
      <c r="A79" t="s">
        <v>895</v>
      </c>
      <c r="B79" s="1">
        <v>45691</v>
      </c>
      <c r="C79" t="s">
        <v>896</v>
      </c>
      <c r="D79" t="s">
        <v>632</v>
      </c>
      <c r="E79" t="s">
        <v>73</v>
      </c>
      <c r="F79">
        <v>6.01</v>
      </c>
      <c r="G79" t="s">
        <v>61</v>
      </c>
      <c r="H79">
        <v>80.390799999999999</v>
      </c>
      <c r="I79">
        <v>-975164.04</v>
      </c>
      <c r="J79" t="s">
        <v>74</v>
      </c>
      <c r="K79">
        <v>-6188846141</v>
      </c>
      <c r="L79" t="s">
        <v>105</v>
      </c>
      <c r="M79" t="s">
        <v>147</v>
      </c>
      <c r="N79" t="s">
        <v>155</v>
      </c>
      <c r="O79" t="s">
        <v>100</v>
      </c>
      <c r="P79" t="s">
        <v>153</v>
      </c>
      <c r="Q79">
        <v>623399</v>
      </c>
      <c r="R79" t="s">
        <v>897</v>
      </c>
      <c r="S79" t="s">
        <v>898</v>
      </c>
      <c r="T79">
        <v>2401243896</v>
      </c>
      <c r="U79" t="s">
        <v>34</v>
      </c>
      <c r="V79" t="s">
        <v>2476</v>
      </c>
      <c r="W79" s="1">
        <v>44743</v>
      </c>
    </row>
    <row r="80" spans="1:23" x14ac:dyDescent="0.25">
      <c r="A80" t="s">
        <v>899</v>
      </c>
      <c r="B80" s="1">
        <v>45608</v>
      </c>
      <c r="C80" t="s">
        <v>900</v>
      </c>
      <c r="D80" t="s">
        <v>386</v>
      </c>
      <c r="E80" t="s">
        <v>55</v>
      </c>
      <c r="F80">
        <v>20.74</v>
      </c>
      <c r="G80" t="s">
        <v>61</v>
      </c>
      <c r="H80">
        <v>75.796999999999997</v>
      </c>
      <c r="I80">
        <v>-1705950.95</v>
      </c>
      <c r="J80" t="s">
        <v>91</v>
      </c>
      <c r="K80">
        <v>1923144367</v>
      </c>
      <c r="L80" t="s">
        <v>92</v>
      </c>
      <c r="M80" t="s">
        <v>50</v>
      </c>
      <c r="N80" t="s">
        <v>111</v>
      </c>
      <c r="O80" t="s">
        <v>70</v>
      </c>
      <c r="P80" t="s">
        <v>53</v>
      </c>
      <c r="Q80">
        <v>256083</v>
      </c>
      <c r="R80">
        <v>4240660000000000</v>
      </c>
      <c r="S80" t="s">
        <v>687</v>
      </c>
      <c r="T80">
        <v>1665794955</v>
      </c>
      <c r="U80" t="s">
        <v>34</v>
      </c>
      <c r="V80" t="s">
        <v>2481</v>
      </c>
      <c r="W80" s="1">
        <v>2017</v>
      </c>
    </row>
    <row r="81" spans="1:23" x14ac:dyDescent="0.25">
      <c r="A81" t="s">
        <v>912</v>
      </c>
      <c r="B81" s="1">
        <v>45454</v>
      </c>
      <c r="C81" t="s">
        <v>913</v>
      </c>
      <c r="D81" t="s">
        <v>291</v>
      </c>
      <c r="E81" t="s">
        <v>55</v>
      </c>
      <c r="F81">
        <v>41.26</v>
      </c>
      <c r="G81" t="s">
        <v>47</v>
      </c>
      <c r="H81">
        <v>108.8036</v>
      </c>
      <c r="I81">
        <v>-189629.74</v>
      </c>
      <c r="J81" t="s">
        <v>38</v>
      </c>
      <c r="K81">
        <v>-8473024769</v>
      </c>
      <c r="L81" t="s">
        <v>39</v>
      </c>
      <c r="M81" t="s">
        <v>147</v>
      </c>
      <c r="N81" t="s">
        <v>148</v>
      </c>
      <c r="O81" t="s">
        <v>42</v>
      </c>
      <c r="P81" t="s">
        <v>93</v>
      </c>
      <c r="Q81">
        <v>205925</v>
      </c>
      <c r="R81" t="s">
        <v>914</v>
      </c>
      <c r="S81" t="s">
        <v>293</v>
      </c>
      <c r="T81">
        <v>8412840981</v>
      </c>
      <c r="U81" t="s">
        <v>34</v>
      </c>
      <c r="V81" t="s">
        <v>2472</v>
      </c>
      <c r="W81" s="1">
        <v>2018</v>
      </c>
    </row>
    <row r="82" spans="1:23" x14ac:dyDescent="0.25">
      <c r="A82" t="s">
        <v>916</v>
      </c>
      <c r="B82" s="1">
        <v>45240</v>
      </c>
      <c r="C82" t="s">
        <v>917</v>
      </c>
      <c r="D82" t="s">
        <v>23</v>
      </c>
      <c r="E82" t="s">
        <v>55</v>
      </c>
      <c r="F82">
        <v>15.19</v>
      </c>
      <c r="G82" t="s">
        <v>61</v>
      </c>
      <c r="H82">
        <v>78.790899999999993</v>
      </c>
      <c r="I82">
        <v>-1269689.96</v>
      </c>
      <c r="J82" t="s">
        <v>128</v>
      </c>
      <c r="K82">
        <v>7903099010</v>
      </c>
      <c r="L82" t="s">
        <v>129</v>
      </c>
      <c r="M82" t="s">
        <v>121</v>
      </c>
      <c r="N82" t="s">
        <v>222</v>
      </c>
      <c r="O82" t="s">
        <v>30</v>
      </c>
      <c r="P82" t="s">
        <v>59</v>
      </c>
      <c r="Q82">
        <v>248584</v>
      </c>
      <c r="R82" t="s">
        <v>918</v>
      </c>
      <c r="S82" t="s">
        <v>33</v>
      </c>
      <c r="T82">
        <v>2570621045</v>
      </c>
      <c r="U82" t="s">
        <v>34</v>
      </c>
      <c r="V82" t="s">
        <v>2473</v>
      </c>
      <c r="W82" s="1">
        <v>45602</v>
      </c>
    </row>
    <row r="83" spans="1:23" x14ac:dyDescent="0.25">
      <c r="A83" t="s">
        <v>919</v>
      </c>
      <c r="B83" s="1">
        <v>45748</v>
      </c>
      <c r="C83" t="s">
        <v>920</v>
      </c>
      <c r="D83" t="s">
        <v>161</v>
      </c>
      <c r="E83" t="s">
        <v>73</v>
      </c>
      <c r="F83">
        <v>20.49</v>
      </c>
      <c r="G83" t="s">
        <v>66</v>
      </c>
      <c r="H83">
        <v>1</v>
      </c>
      <c r="I83">
        <v>-2900960.27</v>
      </c>
      <c r="J83" t="s">
        <v>96</v>
      </c>
      <c r="K83">
        <v>1903811519</v>
      </c>
      <c r="L83" t="s">
        <v>97</v>
      </c>
      <c r="M83" t="s">
        <v>121</v>
      </c>
      <c r="N83" t="s">
        <v>213</v>
      </c>
      <c r="O83" t="s">
        <v>70</v>
      </c>
      <c r="P83" t="s">
        <v>43</v>
      </c>
      <c r="Q83">
        <v>895875</v>
      </c>
      <c r="R83" t="s">
        <v>921</v>
      </c>
      <c r="S83" t="s">
        <v>162</v>
      </c>
      <c r="T83">
        <v>-272561397</v>
      </c>
      <c r="U83" t="s">
        <v>34</v>
      </c>
      <c r="V83" t="s">
        <v>2474</v>
      </c>
      <c r="W83" s="1">
        <v>46054</v>
      </c>
    </row>
    <row r="84" spans="1:23" x14ac:dyDescent="0.25">
      <c r="A84" t="s">
        <v>922</v>
      </c>
      <c r="B84" s="1">
        <v>45026</v>
      </c>
      <c r="C84" t="s">
        <v>923</v>
      </c>
      <c r="D84" t="s">
        <v>215</v>
      </c>
      <c r="E84" t="s">
        <v>55</v>
      </c>
      <c r="F84">
        <v>1622.48</v>
      </c>
      <c r="G84" t="s">
        <v>66</v>
      </c>
      <c r="H84">
        <v>1</v>
      </c>
      <c r="I84">
        <v>-1938110.87</v>
      </c>
      <c r="J84" t="s">
        <v>74</v>
      </c>
      <c r="K84">
        <v>7113675255</v>
      </c>
      <c r="L84" t="s">
        <v>105</v>
      </c>
      <c r="M84" t="s">
        <v>68</v>
      </c>
      <c r="N84" t="s">
        <v>69</v>
      </c>
      <c r="O84" t="s">
        <v>100</v>
      </c>
      <c r="P84" t="s">
        <v>71</v>
      </c>
      <c r="Q84">
        <v>271698</v>
      </c>
      <c r="R84" t="s">
        <v>924</v>
      </c>
      <c r="S84" t="s">
        <v>279</v>
      </c>
      <c r="T84">
        <v>9612912187</v>
      </c>
      <c r="U84" t="s">
        <v>34</v>
      </c>
      <c r="V84" t="s">
        <v>2474</v>
      </c>
      <c r="W84" s="1">
        <v>46082</v>
      </c>
    </row>
    <row r="85" spans="1:23" x14ac:dyDescent="0.25">
      <c r="A85" t="s">
        <v>925</v>
      </c>
      <c r="B85" s="1">
        <v>45577</v>
      </c>
      <c r="C85" t="s">
        <v>926</v>
      </c>
      <c r="D85" t="s">
        <v>624</v>
      </c>
      <c r="E85" t="s">
        <v>24</v>
      </c>
      <c r="F85">
        <v>3.62</v>
      </c>
      <c r="G85" t="s">
        <v>66</v>
      </c>
      <c r="H85">
        <v>1</v>
      </c>
      <c r="I85">
        <v>-2119596.36</v>
      </c>
      <c r="J85" t="s">
        <v>26</v>
      </c>
      <c r="K85">
        <v>2288783619</v>
      </c>
      <c r="L85" t="s">
        <v>27</v>
      </c>
      <c r="M85" t="s">
        <v>28</v>
      </c>
      <c r="N85" t="s">
        <v>119</v>
      </c>
      <c r="O85" t="s">
        <v>70</v>
      </c>
      <c r="P85" t="s">
        <v>153</v>
      </c>
      <c r="Q85">
        <v>914517</v>
      </c>
      <c r="R85" t="s">
        <v>927</v>
      </c>
      <c r="S85" t="s">
        <v>625</v>
      </c>
      <c r="T85">
        <v>6993253523</v>
      </c>
      <c r="U85" t="s">
        <v>34</v>
      </c>
      <c r="V85" t="s">
        <v>2476</v>
      </c>
      <c r="W85" s="1">
        <v>44234</v>
      </c>
    </row>
    <row r="86" spans="1:23" x14ac:dyDescent="0.25">
      <c r="A86" t="s">
        <v>931</v>
      </c>
      <c r="B86" s="1">
        <v>45636</v>
      </c>
      <c r="C86" t="s">
        <v>932</v>
      </c>
      <c r="D86" t="s">
        <v>297</v>
      </c>
      <c r="E86" t="s">
        <v>24</v>
      </c>
      <c r="F86">
        <v>10.39</v>
      </c>
      <c r="G86" t="s">
        <v>56</v>
      </c>
      <c r="H86">
        <v>21.020399999999999</v>
      </c>
      <c r="I86">
        <v>-2464656.91</v>
      </c>
      <c r="J86" t="s">
        <v>116</v>
      </c>
      <c r="K86">
        <v>9089855324</v>
      </c>
      <c r="L86" t="s">
        <v>134</v>
      </c>
      <c r="M86" t="s">
        <v>87</v>
      </c>
      <c r="N86" t="s">
        <v>88</v>
      </c>
      <c r="O86" t="s">
        <v>52</v>
      </c>
      <c r="P86" t="s">
        <v>59</v>
      </c>
      <c r="Q86">
        <v>887975</v>
      </c>
      <c r="R86">
        <v>4551540000000000</v>
      </c>
      <c r="S86" t="s">
        <v>520</v>
      </c>
      <c r="T86">
        <v>908207179</v>
      </c>
      <c r="U86" t="s">
        <v>34</v>
      </c>
      <c r="V86" t="s">
        <v>2474</v>
      </c>
      <c r="W86" s="1">
        <v>2025</v>
      </c>
    </row>
    <row r="87" spans="1:23" x14ac:dyDescent="0.25">
      <c r="A87" t="s">
        <v>934</v>
      </c>
      <c r="B87" s="1">
        <v>45755</v>
      </c>
      <c r="C87" t="s">
        <v>935</v>
      </c>
      <c r="D87" t="s">
        <v>143</v>
      </c>
      <c r="E87" t="s">
        <v>73</v>
      </c>
      <c r="F87">
        <v>30.19</v>
      </c>
      <c r="G87" t="s">
        <v>66</v>
      </c>
      <c r="H87">
        <v>1</v>
      </c>
      <c r="I87">
        <v>-160146.20000000001</v>
      </c>
      <c r="J87" t="s">
        <v>98</v>
      </c>
      <c r="K87">
        <v>3793110600</v>
      </c>
      <c r="L87" t="s">
        <v>99</v>
      </c>
      <c r="M87" t="s">
        <v>77</v>
      </c>
      <c r="N87" t="s">
        <v>78</v>
      </c>
      <c r="O87" t="s">
        <v>52</v>
      </c>
      <c r="P87" t="s">
        <v>75</v>
      </c>
      <c r="Q87">
        <v>526674</v>
      </c>
      <c r="R87" t="s">
        <v>936</v>
      </c>
      <c r="S87" t="s">
        <v>145</v>
      </c>
      <c r="T87">
        <v>1545030892</v>
      </c>
      <c r="U87" t="s">
        <v>34</v>
      </c>
      <c r="V87" t="s">
        <v>2474</v>
      </c>
      <c r="W87" s="1">
        <v>2021</v>
      </c>
    </row>
    <row r="88" spans="1:23" x14ac:dyDescent="0.25">
      <c r="A88" t="s">
        <v>939</v>
      </c>
      <c r="B88" s="1">
        <v>45994</v>
      </c>
      <c r="C88" t="s">
        <v>940</v>
      </c>
      <c r="D88" t="s">
        <v>198</v>
      </c>
      <c r="E88" t="s">
        <v>24</v>
      </c>
      <c r="F88">
        <v>104.21</v>
      </c>
      <c r="G88" t="s">
        <v>66</v>
      </c>
      <c r="H88">
        <v>1</v>
      </c>
      <c r="I88">
        <v>-1640612.2</v>
      </c>
      <c r="J88" t="s">
        <v>96</v>
      </c>
      <c r="K88">
        <v>1350917147</v>
      </c>
      <c r="L88" t="s">
        <v>97</v>
      </c>
      <c r="M88" t="s">
        <v>28</v>
      </c>
      <c r="N88" t="s">
        <v>29</v>
      </c>
      <c r="O88" t="s">
        <v>100</v>
      </c>
      <c r="P88" t="s">
        <v>43</v>
      </c>
      <c r="Q88">
        <v>594508</v>
      </c>
      <c r="R88" t="s">
        <v>941</v>
      </c>
      <c r="S88" t="s">
        <v>797</v>
      </c>
      <c r="T88">
        <v>9582863229</v>
      </c>
      <c r="U88" t="s">
        <v>34</v>
      </c>
      <c r="V88" t="s">
        <v>2478</v>
      </c>
      <c r="W88" s="1">
        <v>42369</v>
      </c>
    </row>
    <row r="89" spans="1:23" x14ac:dyDescent="0.25">
      <c r="A89" t="s">
        <v>942</v>
      </c>
      <c r="B89" s="1">
        <v>45026</v>
      </c>
      <c r="C89" t="s">
        <v>943</v>
      </c>
      <c r="D89" t="s">
        <v>463</v>
      </c>
      <c r="E89" t="s">
        <v>73</v>
      </c>
      <c r="F89">
        <v>72.34</v>
      </c>
      <c r="G89" t="s">
        <v>61</v>
      </c>
      <c r="H89">
        <v>79.554400000000001</v>
      </c>
      <c r="I89">
        <v>-1557960.14</v>
      </c>
      <c r="J89" t="s">
        <v>38</v>
      </c>
      <c r="K89">
        <v>7462154242</v>
      </c>
      <c r="L89" t="s">
        <v>39</v>
      </c>
      <c r="M89" t="s">
        <v>57</v>
      </c>
      <c r="N89" t="s">
        <v>58</v>
      </c>
      <c r="O89" t="s">
        <v>70</v>
      </c>
      <c r="P89" t="s">
        <v>93</v>
      </c>
      <c r="Q89">
        <v>773239</v>
      </c>
      <c r="R89">
        <v>4246890000000000</v>
      </c>
      <c r="S89" t="s">
        <v>944</v>
      </c>
      <c r="T89">
        <v>8501514029</v>
      </c>
      <c r="U89" t="s">
        <v>34</v>
      </c>
      <c r="V89" t="s">
        <v>2477</v>
      </c>
      <c r="W89" s="1">
        <v>2026</v>
      </c>
    </row>
    <row r="90" spans="1:23" x14ac:dyDescent="0.25">
      <c r="A90" t="s">
        <v>950</v>
      </c>
      <c r="B90" s="1">
        <v>45323</v>
      </c>
      <c r="C90" t="s">
        <v>951</v>
      </c>
      <c r="D90" t="s">
        <v>645</v>
      </c>
      <c r="E90" t="s">
        <v>24</v>
      </c>
      <c r="F90">
        <v>47.57</v>
      </c>
      <c r="G90" t="s">
        <v>47</v>
      </c>
      <c r="H90">
        <v>96.313100000000006</v>
      </c>
      <c r="I90">
        <v>-1000722.43</v>
      </c>
      <c r="J90" t="s">
        <v>91</v>
      </c>
      <c r="K90">
        <v>-6294899110</v>
      </c>
      <c r="L90" t="s">
        <v>92</v>
      </c>
      <c r="M90" t="s">
        <v>50</v>
      </c>
      <c r="N90" t="s">
        <v>111</v>
      </c>
      <c r="O90" t="s">
        <v>52</v>
      </c>
      <c r="P90" t="s">
        <v>71</v>
      </c>
      <c r="Q90">
        <v>597211</v>
      </c>
      <c r="R90" t="s">
        <v>952</v>
      </c>
      <c r="S90" t="s">
        <v>953</v>
      </c>
      <c r="T90">
        <v>9355521250</v>
      </c>
      <c r="U90" t="s">
        <v>34</v>
      </c>
      <c r="V90" t="s">
        <v>2474</v>
      </c>
      <c r="W90" s="1">
        <v>44117</v>
      </c>
    </row>
    <row r="91" spans="1:23" x14ac:dyDescent="0.25">
      <c r="A91" t="s">
        <v>956</v>
      </c>
      <c r="B91" s="1">
        <v>45664</v>
      </c>
      <c r="C91" t="s">
        <v>957</v>
      </c>
      <c r="D91" t="s">
        <v>506</v>
      </c>
      <c r="E91" t="s">
        <v>73</v>
      </c>
      <c r="F91">
        <v>4.09</v>
      </c>
      <c r="G91" t="s">
        <v>56</v>
      </c>
      <c r="H91">
        <v>20.136800000000001</v>
      </c>
      <c r="I91">
        <v>-2420180.4300000002</v>
      </c>
      <c r="J91" t="s">
        <v>38</v>
      </c>
      <c r="K91">
        <v>-9381576547</v>
      </c>
      <c r="L91" t="s">
        <v>39</v>
      </c>
      <c r="M91" t="s">
        <v>77</v>
      </c>
      <c r="N91" t="s">
        <v>78</v>
      </c>
      <c r="O91" t="s">
        <v>70</v>
      </c>
      <c r="P91" t="s">
        <v>53</v>
      </c>
      <c r="Q91">
        <v>486940</v>
      </c>
      <c r="R91" t="s">
        <v>958</v>
      </c>
      <c r="S91" t="s">
        <v>959</v>
      </c>
      <c r="T91">
        <v>-6798814352</v>
      </c>
      <c r="U91" t="s">
        <v>34</v>
      </c>
      <c r="V91" t="s">
        <v>2478</v>
      </c>
      <c r="W91" s="1">
        <v>45108</v>
      </c>
    </row>
    <row r="92" spans="1:23" x14ac:dyDescent="0.25">
      <c r="A92" t="s">
        <v>963</v>
      </c>
      <c r="B92" s="1">
        <v>45417</v>
      </c>
      <c r="C92" t="s">
        <v>964</v>
      </c>
      <c r="D92" t="s">
        <v>101</v>
      </c>
      <c r="E92" t="s">
        <v>73</v>
      </c>
      <c r="F92">
        <v>-7.87</v>
      </c>
      <c r="G92" t="s">
        <v>61</v>
      </c>
      <c r="H92">
        <v>74.887600000000006</v>
      </c>
      <c r="I92">
        <v>-258954.27</v>
      </c>
      <c r="J92" t="s">
        <v>91</v>
      </c>
      <c r="K92">
        <v>9342828972</v>
      </c>
      <c r="L92" t="s">
        <v>92</v>
      </c>
      <c r="M92" t="s">
        <v>87</v>
      </c>
      <c r="N92" t="s">
        <v>151</v>
      </c>
      <c r="O92" t="s">
        <v>30</v>
      </c>
      <c r="P92" t="s">
        <v>93</v>
      </c>
      <c r="Q92">
        <v>745122</v>
      </c>
      <c r="R92" t="s">
        <v>965</v>
      </c>
      <c r="S92" t="s">
        <v>857</v>
      </c>
      <c r="T92">
        <v>-808909620</v>
      </c>
      <c r="U92" t="s">
        <v>34</v>
      </c>
      <c r="V92" t="s">
        <v>2475</v>
      </c>
      <c r="W92" s="1">
        <v>44674</v>
      </c>
    </row>
    <row r="93" spans="1:23" x14ac:dyDescent="0.25">
      <c r="A93" t="s">
        <v>975</v>
      </c>
      <c r="B93" s="1">
        <v>45778</v>
      </c>
      <c r="C93" t="s">
        <v>976</v>
      </c>
      <c r="D93" t="s">
        <v>977</v>
      </c>
      <c r="E93" t="s">
        <v>24</v>
      </c>
      <c r="F93">
        <v>128.16999999999999</v>
      </c>
      <c r="G93" t="s">
        <v>66</v>
      </c>
      <c r="H93">
        <v>1</v>
      </c>
      <c r="I93">
        <v>-2236740.29</v>
      </c>
      <c r="J93" t="s">
        <v>26</v>
      </c>
      <c r="K93">
        <v>-6174948056</v>
      </c>
      <c r="L93" t="s">
        <v>27</v>
      </c>
      <c r="M93" t="s">
        <v>77</v>
      </c>
      <c r="N93" t="s">
        <v>307</v>
      </c>
      <c r="O93" t="s">
        <v>42</v>
      </c>
      <c r="P93" t="s">
        <v>93</v>
      </c>
      <c r="Q93">
        <v>841563</v>
      </c>
      <c r="R93" t="s">
        <v>978</v>
      </c>
      <c r="S93" t="s">
        <v>979</v>
      </c>
      <c r="T93">
        <v>7531397513</v>
      </c>
      <c r="U93" t="s">
        <v>34</v>
      </c>
      <c r="V93" t="s">
        <v>2476</v>
      </c>
      <c r="W93" s="1">
        <v>45597</v>
      </c>
    </row>
    <row r="94" spans="1:23" x14ac:dyDescent="0.25">
      <c r="A94" t="s">
        <v>985</v>
      </c>
      <c r="B94" s="1">
        <v>45451</v>
      </c>
      <c r="C94" t="s">
        <v>986</v>
      </c>
      <c r="D94" t="s">
        <v>700</v>
      </c>
      <c r="E94" t="s">
        <v>73</v>
      </c>
      <c r="F94">
        <v>49.68</v>
      </c>
      <c r="G94" t="s">
        <v>61</v>
      </c>
      <c r="H94">
        <v>73.788200000000003</v>
      </c>
      <c r="I94">
        <v>-1807434.16</v>
      </c>
      <c r="J94" t="s">
        <v>62</v>
      </c>
      <c r="K94">
        <v>2067361681</v>
      </c>
      <c r="L94" t="s">
        <v>131</v>
      </c>
      <c r="M94" t="s">
        <v>147</v>
      </c>
      <c r="N94" t="s">
        <v>148</v>
      </c>
      <c r="O94" t="s">
        <v>70</v>
      </c>
      <c r="P94" t="s">
        <v>43</v>
      </c>
      <c r="Q94">
        <v>128545</v>
      </c>
      <c r="R94">
        <v>4720530000000000</v>
      </c>
      <c r="S94" t="s">
        <v>987</v>
      </c>
      <c r="T94">
        <v>2414487847</v>
      </c>
      <c r="U94" t="s">
        <v>34</v>
      </c>
      <c r="V94" t="s">
        <v>2472</v>
      </c>
      <c r="W94" s="1">
        <v>2021</v>
      </c>
    </row>
    <row r="95" spans="1:23" x14ac:dyDescent="0.25">
      <c r="A95" t="s">
        <v>995</v>
      </c>
      <c r="B95" s="1">
        <v>45480</v>
      </c>
      <c r="C95" t="s">
        <v>996</v>
      </c>
      <c r="D95" t="s">
        <v>315</v>
      </c>
      <c r="E95" t="s">
        <v>55</v>
      </c>
      <c r="F95">
        <v>114.02</v>
      </c>
      <c r="G95" t="s">
        <v>66</v>
      </c>
      <c r="H95">
        <v>1</v>
      </c>
      <c r="I95">
        <v>-554448.64000000001</v>
      </c>
      <c r="J95" t="s">
        <v>74</v>
      </c>
      <c r="K95">
        <v>3685965551</v>
      </c>
      <c r="L95" t="s">
        <v>105</v>
      </c>
      <c r="M95" t="s">
        <v>40</v>
      </c>
      <c r="N95" t="s">
        <v>41</v>
      </c>
      <c r="O95" t="s">
        <v>30</v>
      </c>
      <c r="P95" t="s">
        <v>59</v>
      </c>
      <c r="Q95">
        <v>863168</v>
      </c>
      <c r="R95" t="s">
        <v>997</v>
      </c>
      <c r="S95" t="s">
        <v>434</v>
      </c>
      <c r="T95">
        <v>4898682634</v>
      </c>
      <c r="U95" t="s">
        <v>34</v>
      </c>
      <c r="V95" t="s">
        <v>2475</v>
      </c>
      <c r="W95" s="1">
        <v>43770</v>
      </c>
    </row>
    <row r="96" spans="1:23" x14ac:dyDescent="0.25">
      <c r="A96" t="s">
        <v>1005</v>
      </c>
      <c r="B96" s="1">
        <v>45783</v>
      </c>
      <c r="C96" t="s">
        <v>1006</v>
      </c>
      <c r="D96" t="s">
        <v>626</v>
      </c>
      <c r="E96" t="s">
        <v>24</v>
      </c>
      <c r="F96">
        <v>26.81</v>
      </c>
      <c r="G96" t="s">
        <v>47</v>
      </c>
      <c r="H96">
        <v>107.07259999999999</v>
      </c>
      <c r="I96">
        <v>-1130326.19</v>
      </c>
      <c r="J96" t="s">
        <v>116</v>
      </c>
      <c r="K96">
        <v>3634159841</v>
      </c>
      <c r="L96" t="s">
        <v>134</v>
      </c>
      <c r="M96" t="s">
        <v>50</v>
      </c>
      <c r="N96" t="s">
        <v>111</v>
      </c>
      <c r="O96" t="s">
        <v>52</v>
      </c>
      <c r="P96" t="s">
        <v>43</v>
      </c>
      <c r="Q96">
        <v>711378</v>
      </c>
      <c r="R96" t="s">
        <v>1007</v>
      </c>
      <c r="S96" t="s">
        <v>972</v>
      </c>
      <c r="T96">
        <v>6856945980</v>
      </c>
      <c r="U96" t="s">
        <v>34</v>
      </c>
      <c r="V96" t="s">
        <v>2472</v>
      </c>
      <c r="W96" s="1">
        <v>2019</v>
      </c>
    </row>
    <row r="97" spans="1:23" x14ac:dyDescent="0.25">
      <c r="A97" t="s">
        <v>1012</v>
      </c>
      <c r="B97" s="1">
        <v>45902</v>
      </c>
      <c r="C97" t="s">
        <v>1013</v>
      </c>
      <c r="D97" t="s">
        <v>130</v>
      </c>
      <c r="E97" t="s">
        <v>73</v>
      </c>
      <c r="F97">
        <v>5.83</v>
      </c>
      <c r="G97" t="s">
        <v>61</v>
      </c>
      <c r="H97">
        <v>79.363500000000002</v>
      </c>
      <c r="I97">
        <v>-529957.32999999996</v>
      </c>
      <c r="J97" t="s">
        <v>48</v>
      </c>
      <c r="K97">
        <v>3768900462</v>
      </c>
      <c r="L97" t="s">
        <v>49</v>
      </c>
      <c r="M97" t="s">
        <v>77</v>
      </c>
      <c r="N97" t="s">
        <v>78</v>
      </c>
      <c r="O97" t="s">
        <v>30</v>
      </c>
      <c r="P97" t="s">
        <v>153</v>
      </c>
      <c r="Q97">
        <v>110501</v>
      </c>
      <c r="R97" t="s">
        <v>1014</v>
      </c>
      <c r="S97" t="s">
        <v>1015</v>
      </c>
      <c r="T97">
        <v>6989934208</v>
      </c>
      <c r="U97" t="s">
        <v>34</v>
      </c>
      <c r="V97" t="s">
        <v>2474</v>
      </c>
      <c r="W97" s="1">
        <v>43475</v>
      </c>
    </row>
    <row r="98" spans="1:23" x14ac:dyDescent="0.25">
      <c r="A98" t="s">
        <v>1016</v>
      </c>
      <c r="B98" s="1">
        <v>45725</v>
      </c>
      <c r="C98" t="s">
        <v>1017</v>
      </c>
      <c r="D98" t="s">
        <v>393</v>
      </c>
      <c r="E98" t="s">
        <v>24</v>
      </c>
      <c r="F98">
        <v>354.86</v>
      </c>
      <c r="G98" t="s">
        <v>47</v>
      </c>
      <c r="H98">
        <v>99.921499999999995</v>
      </c>
      <c r="I98">
        <v>-1270347.94</v>
      </c>
      <c r="J98" t="s">
        <v>81</v>
      </c>
      <c r="K98">
        <v>3570554714</v>
      </c>
      <c r="L98" t="s">
        <v>82</v>
      </c>
      <c r="M98" t="s">
        <v>50</v>
      </c>
      <c r="N98" t="s">
        <v>111</v>
      </c>
      <c r="O98" t="s">
        <v>42</v>
      </c>
      <c r="P98" t="s">
        <v>71</v>
      </c>
      <c r="Q98">
        <v>722673</v>
      </c>
      <c r="R98">
        <v>4048660000000000</v>
      </c>
      <c r="S98" t="s">
        <v>394</v>
      </c>
      <c r="T98">
        <v>-478820053</v>
      </c>
      <c r="U98" t="s">
        <v>34</v>
      </c>
      <c r="V98" t="s">
        <v>2475</v>
      </c>
      <c r="W98" s="1">
        <v>46054</v>
      </c>
    </row>
    <row r="99" spans="1:23" x14ac:dyDescent="0.25">
      <c r="A99" t="s">
        <v>1020</v>
      </c>
      <c r="B99" s="1">
        <v>45417</v>
      </c>
      <c r="C99" t="s">
        <v>846</v>
      </c>
      <c r="D99" t="s">
        <v>483</v>
      </c>
      <c r="E99" t="s">
        <v>24</v>
      </c>
      <c r="F99">
        <v>33.24</v>
      </c>
      <c r="G99" t="s">
        <v>56</v>
      </c>
      <c r="H99">
        <v>21.216999999999999</v>
      </c>
      <c r="I99">
        <v>-973841.91</v>
      </c>
      <c r="J99" t="s">
        <v>86</v>
      </c>
      <c r="K99">
        <v>-5482469650</v>
      </c>
      <c r="L99" t="s">
        <v>181</v>
      </c>
      <c r="M99" t="s">
        <v>40</v>
      </c>
      <c r="N99" t="s">
        <v>106</v>
      </c>
      <c r="O99" t="s">
        <v>30</v>
      </c>
      <c r="P99" t="s">
        <v>53</v>
      </c>
      <c r="Q99">
        <v>162518</v>
      </c>
      <c r="R99" t="s">
        <v>1021</v>
      </c>
      <c r="S99" t="s">
        <v>1022</v>
      </c>
      <c r="T99">
        <v>1150335547</v>
      </c>
      <c r="U99" t="s">
        <v>34</v>
      </c>
      <c r="V99" t="s">
        <v>2472</v>
      </c>
      <c r="W99" s="1">
        <v>44328</v>
      </c>
    </row>
    <row r="100" spans="1:23" x14ac:dyDescent="0.25">
      <c r="A100" t="s">
        <v>1024</v>
      </c>
      <c r="B100" s="1">
        <v>45513</v>
      </c>
      <c r="C100" t="s">
        <v>1025</v>
      </c>
      <c r="D100" t="s">
        <v>636</v>
      </c>
      <c r="E100" t="s">
        <v>24</v>
      </c>
      <c r="F100">
        <v>17.34</v>
      </c>
      <c r="G100" t="s">
        <v>61</v>
      </c>
      <c r="H100">
        <v>72.751800000000003</v>
      </c>
      <c r="I100">
        <v>-2466775.5099999998</v>
      </c>
      <c r="J100" t="s">
        <v>48</v>
      </c>
      <c r="K100">
        <v>6984728116</v>
      </c>
      <c r="L100" t="s">
        <v>49</v>
      </c>
      <c r="M100" t="s">
        <v>121</v>
      </c>
      <c r="N100" t="s">
        <v>122</v>
      </c>
      <c r="O100" t="s">
        <v>42</v>
      </c>
      <c r="P100" t="s">
        <v>153</v>
      </c>
      <c r="Q100">
        <v>490171</v>
      </c>
      <c r="R100" t="s">
        <v>1026</v>
      </c>
      <c r="S100" t="s">
        <v>1027</v>
      </c>
      <c r="T100">
        <v>8274994878</v>
      </c>
      <c r="U100" t="s">
        <v>34</v>
      </c>
      <c r="V100" t="s">
        <v>2474</v>
      </c>
      <c r="W100" s="1">
        <v>45018</v>
      </c>
    </row>
    <row r="101" spans="1:23" x14ac:dyDescent="0.25">
      <c r="A101" t="s">
        <v>1030</v>
      </c>
      <c r="B101" s="1">
        <v>45452</v>
      </c>
      <c r="C101" t="s">
        <v>1031</v>
      </c>
      <c r="D101" t="s">
        <v>661</v>
      </c>
      <c r="E101" t="s">
        <v>24</v>
      </c>
      <c r="F101">
        <v>92.14</v>
      </c>
      <c r="G101" t="s">
        <v>61</v>
      </c>
      <c r="H101">
        <v>72.593299999999999</v>
      </c>
      <c r="I101">
        <v>-1076099.33</v>
      </c>
      <c r="J101" t="s">
        <v>91</v>
      </c>
      <c r="K101">
        <v>959602808</v>
      </c>
      <c r="L101" t="s">
        <v>92</v>
      </c>
      <c r="M101" t="s">
        <v>40</v>
      </c>
      <c r="N101" t="s">
        <v>106</v>
      </c>
      <c r="O101" t="s">
        <v>42</v>
      </c>
      <c r="P101" t="s">
        <v>71</v>
      </c>
      <c r="Q101">
        <v>927226</v>
      </c>
      <c r="R101" t="s">
        <v>1032</v>
      </c>
      <c r="S101" t="s">
        <v>662</v>
      </c>
      <c r="T101">
        <v>-4919767181</v>
      </c>
      <c r="U101" t="s">
        <v>34</v>
      </c>
      <c r="V101" t="s">
        <v>2477</v>
      </c>
      <c r="W101" s="1">
        <v>44842</v>
      </c>
    </row>
    <row r="102" spans="1:23" x14ac:dyDescent="0.25">
      <c r="A102" t="s">
        <v>1033</v>
      </c>
      <c r="B102" s="1">
        <v>45445</v>
      </c>
      <c r="C102" t="s">
        <v>1034</v>
      </c>
      <c r="D102" t="s">
        <v>400</v>
      </c>
      <c r="E102" t="s">
        <v>55</v>
      </c>
      <c r="F102">
        <v>72.37</v>
      </c>
      <c r="G102" t="s">
        <v>61</v>
      </c>
      <c r="H102">
        <v>82.440200000000004</v>
      </c>
      <c r="I102">
        <v>-1559508.72</v>
      </c>
      <c r="J102" t="s">
        <v>98</v>
      </c>
      <c r="K102">
        <v>7164080903</v>
      </c>
      <c r="L102" t="s">
        <v>99</v>
      </c>
      <c r="M102" t="s">
        <v>50</v>
      </c>
      <c r="N102" t="s">
        <v>51</v>
      </c>
      <c r="O102" t="s">
        <v>100</v>
      </c>
      <c r="P102" t="s">
        <v>59</v>
      </c>
      <c r="Q102">
        <v>578117</v>
      </c>
      <c r="R102" t="s">
        <v>993</v>
      </c>
      <c r="S102" t="s">
        <v>401</v>
      </c>
      <c r="T102">
        <v>3431287002</v>
      </c>
      <c r="U102" t="s">
        <v>34</v>
      </c>
      <c r="V102" t="s">
        <v>2474</v>
      </c>
      <c r="W102" s="1">
        <v>2021</v>
      </c>
    </row>
    <row r="103" spans="1:23" x14ac:dyDescent="0.25">
      <c r="A103" t="s">
        <v>1037</v>
      </c>
      <c r="B103" s="1">
        <v>45842</v>
      </c>
      <c r="C103" t="s">
        <v>1038</v>
      </c>
      <c r="D103" t="s">
        <v>571</v>
      </c>
      <c r="E103" t="s">
        <v>55</v>
      </c>
      <c r="F103">
        <v>31.75</v>
      </c>
      <c r="G103" t="s">
        <v>66</v>
      </c>
      <c r="H103">
        <v>1</v>
      </c>
      <c r="I103">
        <v>-446368.24</v>
      </c>
      <c r="J103" t="s">
        <v>81</v>
      </c>
      <c r="K103">
        <v>1913108020</v>
      </c>
      <c r="L103" t="s">
        <v>82</v>
      </c>
      <c r="M103" t="s">
        <v>77</v>
      </c>
      <c r="N103" t="s">
        <v>78</v>
      </c>
      <c r="O103" t="s">
        <v>79</v>
      </c>
      <c r="P103" t="s">
        <v>93</v>
      </c>
      <c r="Q103">
        <v>862279</v>
      </c>
      <c r="R103" t="s">
        <v>1039</v>
      </c>
      <c r="S103" t="s">
        <v>572</v>
      </c>
      <c r="T103">
        <v>280484583</v>
      </c>
      <c r="U103" t="s">
        <v>34</v>
      </c>
      <c r="V103" t="s">
        <v>2477</v>
      </c>
      <c r="W103" s="1">
        <v>2020</v>
      </c>
    </row>
    <row r="104" spans="1:23" x14ac:dyDescent="0.25">
      <c r="A104" t="s">
        <v>1040</v>
      </c>
      <c r="B104" s="1">
        <v>45724</v>
      </c>
      <c r="C104" t="s">
        <v>1041</v>
      </c>
      <c r="D104" t="s">
        <v>1008</v>
      </c>
      <c r="E104" t="s">
        <v>24</v>
      </c>
      <c r="F104">
        <v>10.78</v>
      </c>
      <c r="G104" t="s">
        <v>61</v>
      </c>
      <c r="H104">
        <v>81.556299999999993</v>
      </c>
      <c r="I104">
        <v>-2463605.84</v>
      </c>
      <c r="J104" t="s">
        <v>96</v>
      </c>
      <c r="K104">
        <v>6813676776</v>
      </c>
      <c r="L104" t="s">
        <v>97</v>
      </c>
      <c r="M104" t="s">
        <v>68</v>
      </c>
      <c r="N104" t="s">
        <v>69</v>
      </c>
      <c r="O104" t="s">
        <v>42</v>
      </c>
      <c r="P104" t="s">
        <v>75</v>
      </c>
      <c r="Q104">
        <v>218328</v>
      </c>
      <c r="R104">
        <v>4374180000000000</v>
      </c>
      <c r="S104" t="s">
        <v>1042</v>
      </c>
      <c r="T104">
        <v>9345207146</v>
      </c>
      <c r="U104" t="s">
        <v>34</v>
      </c>
      <c r="V104" t="s">
        <v>2474</v>
      </c>
      <c r="W104" s="1">
        <v>43532</v>
      </c>
    </row>
    <row r="105" spans="1:23" x14ac:dyDescent="0.25">
      <c r="A105" t="s">
        <v>1043</v>
      </c>
      <c r="B105" s="1">
        <v>45608</v>
      </c>
      <c r="C105" t="s">
        <v>1044</v>
      </c>
      <c r="D105" t="s">
        <v>479</v>
      </c>
      <c r="E105" t="s">
        <v>73</v>
      </c>
      <c r="F105">
        <v>58.45</v>
      </c>
      <c r="G105" t="s">
        <v>61</v>
      </c>
      <c r="H105">
        <v>79.755399999999995</v>
      </c>
      <c r="I105">
        <v>-2514386.67</v>
      </c>
      <c r="J105" t="s">
        <v>128</v>
      </c>
      <c r="K105">
        <v>6259006471</v>
      </c>
      <c r="L105" t="s">
        <v>129</v>
      </c>
      <c r="M105" t="s">
        <v>28</v>
      </c>
      <c r="N105" t="s">
        <v>29</v>
      </c>
      <c r="O105" t="s">
        <v>30</v>
      </c>
      <c r="P105" t="s">
        <v>59</v>
      </c>
      <c r="Q105">
        <v>370080</v>
      </c>
      <c r="R105">
        <v>4465560000000000</v>
      </c>
      <c r="S105" t="s">
        <v>1045</v>
      </c>
      <c r="T105">
        <v>1563515311</v>
      </c>
      <c r="U105" t="s">
        <v>34</v>
      </c>
      <c r="V105" t="s">
        <v>2472</v>
      </c>
      <c r="W105" s="1">
        <v>43385</v>
      </c>
    </row>
    <row r="106" spans="1:23" x14ac:dyDescent="0.25">
      <c r="A106" t="s">
        <v>1049</v>
      </c>
      <c r="B106" s="1">
        <v>45179</v>
      </c>
      <c r="C106" t="s">
        <v>1050</v>
      </c>
      <c r="D106" t="s">
        <v>1051</v>
      </c>
      <c r="E106" t="s">
        <v>55</v>
      </c>
      <c r="F106">
        <v>43.07</v>
      </c>
      <c r="G106" t="s">
        <v>61</v>
      </c>
      <c r="H106">
        <v>79.392899999999997</v>
      </c>
      <c r="I106">
        <v>-2904005.07</v>
      </c>
      <c r="J106" t="s">
        <v>67</v>
      </c>
      <c r="K106">
        <v>6697846923</v>
      </c>
      <c r="L106" t="s">
        <v>178</v>
      </c>
      <c r="M106" t="s">
        <v>57</v>
      </c>
      <c r="N106" t="s">
        <v>58</v>
      </c>
      <c r="O106" t="s">
        <v>100</v>
      </c>
      <c r="P106" t="s">
        <v>75</v>
      </c>
      <c r="Q106">
        <v>951749</v>
      </c>
      <c r="R106" t="s">
        <v>1052</v>
      </c>
      <c r="S106" t="s">
        <v>1053</v>
      </c>
      <c r="T106">
        <v>4855386161</v>
      </c>
      <c r="U106" t="s">
        <v>34</v>
      </c>
      <c r="V106" t="s">
        <v>2474</v>
      </c>
      <c r="W106" s="1">
        <v>45017</v>
      </c>
    </row>
    <row r="107" spans="1:23" x14ac:dyDescent="0.25">
      <c r="A107" t="s">
        <v>1054</v>
      </c>
      <c r="B107" s="1">
        <v>45445</v>
      </c>
      <c r="C107" t="s">
        <v>1055</v>
      </c>
      <c r="D107" t="s">
        <v>289</v>
      </c>
      <c r="E107" t="s">
        <v>24</v>
      </c>
      <c r="F107">
        <v>248.24</v>
      </c>
      <c r="G107" t="s">
        <v>56</v>
      </c>
      <c r="H107">
        <v>18.930900000000001</v>
      </c>
      <c r="I107">
        <v>-2231948.38</v>
      </c>
      <c r="J107" t="s">
        <v>81</v>
      </c>
      <c r="K107">
        <v>514836786</v>
      </c>
      <c r="L107" t="s">
        <v>82</v>
      </c>
      <c r="M107" t="s">
        <v>87</v>
      </c>
      <c r="N107" t="s">
        <v>151</v>
      </c>
      <c r="O107" t="s">
        <v>70</v>
      </c>
      <c r="P107" t="s">
        <v>43</v>
      </c>
      <c r="Q107">
        <v>146210</v>
      </c>
      <c r="R107" t="s">
        <v>1056</v>
      </c>
      <c r="S107" t="s">
        <v>411</v>
      </c>
      <c r="T107">
        <v>7525174773</v>
      </c>
      <c r="U107" t="s">
        <v>34</v>
      </c>
      <c r="V107" t="s">
        <v>2475</v>
      </c>
      <c r="W107" s="1">
        <v>43020</v>
      </c>
    </row>
    <row r="108" spans="1:23" x14ac:dyDescent="0.25">
      <c r="A108" t="s">
        <v>1057</v>
      </c>
      <c r="B108" s="1">
        <v>45962</v>
      </c>
      <c r="C108" t="s">
        <v>1058</v>
      </c>
      <c r="D108" t="s">
        <v>1059</v>
      </c>
      <c r="E108" t="s">
        <v>73</v>
      </c>
      <c r="F108">
        <v>195.13</v>
      </c>
      <c r="G108" t="s">
        <v>66</v>
      </c>
      <c r="H108">
        <v>1</v>
      </c>
      <c r="I108">
        <v>-2652902.35</v>
      </c>
      <c r="J108" t="s">
        <v>116</v>
      </c>
      <c r="K108">
        <v>-4430421789</v>
      </c>
      <c r="L108" t="s">
        <v>134</v>
      </c>
      <c r="M108" t="s">
        <v>57</v>
      </c>
      <c r="N108" t="s">
        <v>209</v>
      </c>
      <c r="O108" t="s">
        <v>70</v>
      </c>
      <c r="P108" t="s">
        <v>59</v>
      </c>
      <c r="Q108">
        <v>123556</v>
      </c>
      <c r="R108" t="s">
        <v>1060</v>
      </c>
      <c r="S108" t="s">
        <v>1061</v>
      </c>
      <c r="T108">
        <v>8297458816</v>
      </c>
      <c r="U108" t="s">
        <v>34</v>
      </c>
      <c r="V108" t="s">
        <v>2476</v>
      </c>
      <c r="W108" s="1">
        <v>43831</v>
      </c>
    </row>
    <row r="109" spans="1:23" x14ac:dyDescent="0.25">
      <c r="A109" t="s">
        <v>1062</v>
      </c>
      <c r="B109" s="1">
        <v>45877</v>
      </c>
      <c r="C109" t="s">
        <v>556</v>
      </c>
      <c r="D109" t="s">
        <v>72</v>
      </c>
      <c r="E109" t="s">
        <v>73</v>
      </c>
      <c r="F109">
        <v>18.100000000000001</v>
      </c>
      <c r="G109" t="s">
        <v>2506</v>
      </c>
      <c r="H109">
        <v>1</v>
      </c>
      <c r="I109">
        <v>-2679423.69</v>
      </c>
      <c r="J109" t="s">
        <v>74</v>
      </c>
      <c r="K109">
        <v>8545145288</v>
      </c>
      <c r="L109" t="s">
        <v>105</v>
      </c>
      <c r="M109" t="s">
        <v>147</v>
      </c>
      <c r="N109" t="s">
        <v>148</v>
      </c>
      <c r="O109" t="s">
        <v>100</v>
      </c>
      <c r="P109" t="s">
        <v>59</v>
      </c>
      <c r="Q109">
        <v>933030</v>
      </c>
      <c r="R109">
        <v>4563680000000000</v>
      </c>
      <c r="S109" t="s">
        <v>1063</v>
      </c>
      <c r="T109">
        <v>2485265218</v>
      </c>
      <c r="U109" t="s">
        <v>34</v>
      </c>
      <c r="V109" t="s">
        <v>2474</v>
      </c>
      <c r="W109" s="1">
        <v>45870</v>
      </c>
    </row>
    <row r="110" spans="1:23" x14ac:dyDescent="0.25">
      <c r="A110" t="s">
        <v>1067</v>
      </c>
      <c r="B110" s="1">
        <v>45842</v>
      </c>
      <c r="C110" t="s">
        <v>216</v>
      </c>
      <c r="D110" t="s">
        <v>999</v>
      </c>
      <c r="E110" t="s">
        <v>73</v>
      </c>
      <c r="F110">
        <v>68.680000000000007</v>
      </c>
      <c r="G110" t="s">
        <v>47</v>
      </c>
      <c r="H110">
        <v>100.96040000000001</v>
      </c>
      <c r="I110">
        <v>-529731.13</v>
      </c>
      <c r="J110" t="s">
        <v>86</v>
      </c>
      <c r="K110">
        <v>9861042558</v>
      </c>
      <c r="L110" t="s">
        <v>181</v>
      </c>
      <c r="M110" t="s">
        <v>77</v>
      </c>
      <c r="N110" t="s">
        <v>307</v>
      </c>
      <c r="O110" t="s">
        <v>30</v>
      </c>
      <c r="P110" t="s">
        <v>153</v>
      </c>
      <c r="Q110">
        <v>765738</v>
      </c>
      <c r="R110" t="s">
        <v>1068</v>
      </c>
      <c r="S110" t="s">
        <v>1069</v>
      </c>
      <c r="T110">
        <v>3118293873</v>
      </c>
      <c r="U110" t="s">
        <v>34</v>
      </c>
      <c r="V110" t="s">
        <v>2474</v>
      </c>
      <c r="W110" s="1">
        <v>2020</v>
      </c>
    </row>
    <row r="111" spans="1:23" x14ac:dyDescent="0.25">
      <c r="A111" t="s">
        <v>1074</v>
      </c>
      <c r="B111" s="1">
        <v>45333</v>
      </c>
      <c r="C111" t="s">
        <v>1075</v>
      </c>
      <c r="D111" t="s">
        <v>516</v>
      </c>
      <c r="E111" t="s">
        <v>55</v>
      </c>
      <c r="F111">
        <v>15.99</v>
      </c>
      <c r="G111" t="s">
        <v>56</v>
      </c>
      <c r="H111">
        <v>19.3611</v>
      </c>
      <c r="I111">
        <v>-1626977.7</v>
      </c>
      <c r="J111" t="s">
        <v>48</v>
      </c>
      <c r="K111">
        <v>5046889687</v>
      </c>
      <c r="L111" t="s">
        <v>49</v>
      </c>
      <c r="M111" t="s">
        <v>147</v>
      </c>
      <c r="N111" t="s">
        <v>155</v>
      </c>
      <c r="O111" t="s">
        <v>30</v>
      </c>
      <c r="P111" t="s">
        <v>53</v>
      </c>
      <c r="Q111">
        <v>951831</v>
      </c>
      <c r="R111" t="s">
        <v>747</v>
      </c>
      <c r="S111" t="s">
        <v>746</v>
      </c>
      <c r="T111">
        <v>-5258289504</v>
      </c>
      <c r="U111" t="s">
        <v>34</v>
      </c>
      <c r="V111" t="s">
        <v>2478</v>
      </c>
      <c r="W111" s="1">
        <v>45770</v>
      </c>
    </row>
    <row r="112" spans="1:23" x14ac:dyDescent="0.25">
      <c r="A112" t="s">
        <v>1078</v>
      </c>
      <c r="B112" s="1">
        <v>45719</v>
      </c>
      <c r="C112" t="s">
        <v>849</v>
      </c>
      <c r="D112" t="s">
        <v>387</v>
      </c>
      <c r="E112" t="s">
        <v>55</v>
      </c>
      <c r="F112">
        <v>75.430000000000007</v>
      </c>
      <c r="G112" t="s">
        <v>61</v>
      </c>
      <c r="H112">
        <v>81.687200000000004</v>
      </c>
      <c r="I112">
        <v>-258322.12</v>
      </c>
      <c r="J112" t="s">
        <v>116</v>
      </c>
      <c r="K112">
        <v>6310781504</v>
      </c>
      <c r="L112" t="s">
        <v>134</v>
      </c>
      <c r="M112" t="s">
        <v>68</v>
      </c>
      <c r="N112" t="s">
        <v>114</v>
      </c>
      <c r="O112" t="s">
        <v>100</v>
      </c>
      <c r="P112" t="s">
        <v>59</v>
      </c>
      <c r="Q112">
        <v>686184</v>
      </c>
      <c r="R112" t="s">
        <v>1079</v>
      </c>
      <c r="S112" t="s">
        <v>1080</v>
      </c>
      <c r="T112">
        <v>7629143650</v>
      </c>
      <c r="U112" t="s">
        <v>34</v>
      </c>
      <c r="V112" t="s">
        <v>2473</v>
      </c>
      <c r="W112" s="1">
        <v>42645</v>
      </c>
    </row>
    <row r="113" spans="1:23" x14ac:dyDescent="0.25">
      <c r="A113" t="s">
        <v>1082</v>
      </c>
      <c r="B113" s="1">
        <v>44936</v>
      </c>
      <c r="C113" t="s">
        <v>1083</v>
      </c>
      <c r="D113" t="s">
        <v>211</v>
      </c>
      <c r="E113" t="s">
        <v>24</v>
      </c>
      <c r="F113">
        <v>8.07</v>
      </c>
      <c r="G113" t="s">
        <v>56</v>
      </c>
      <c r="H113">
        <v>20.910399999999999</v>
      </c>
      <c r="I113">
        <v>-2118578.5099999998</v>
      </c>
      <c r="J113" t="s">
        <v>48</v>
      </c>
      <c r="K113">
        <v>6838102939</v>
      </c>
      <c r="L113" t="s">
        <v>49</v>
      </c>
      <c r="M113" t="s">
        <v>57</v>
      </c>
      <c r="N113" t="s">
        <v>58</v>
      </c>
      <c r="O113" t="s">
        <v>30</v>
      </c>
      <c r="P113" t="s">
        <v>43</v>
      </c>
      <c r="Q113">
        <v>188514</v>
      </c>
      <c r="R113" t="s">
        <v>1084</v>
      </c>
      <c r="S113" t="s">
        <v>1085</v>
      </c>
      <c r="T113">
        <v>4473056185</v>
      </c>
      <c r="U113" t="s">
        <v>34</v>
      </c>
      <c r="V113" t="s">
        <v>2474</v>
      </c>
      <c r="W113" s="1">
        <v>42826</v>
      </c>
    </row>
    <row r="114" spans="1:23" x14ac:dyDescent="0.25">
      <c r="A114" t="s">
        <v>1086</v>
      </c>
      <c r="B114" s="1">
        <v>45392</v>
      </c>
      <c r="C114" t="s">
        <v>1087</v>
      </c>
      <c r="D114" t="s">
        <v>989</v>
      </c>
      <c r="E114" t="s">
        <v>24</v>
      </c>
      <c r="F114">
        <v>16.27</v>
      </c>
      <c r="G114" t="s">
        <v>56</v>
      </c>
      <c r="H114">
        <v>18.348099999999999</v>
      </c>
      <c r="I114">
        <v>-2935302.24</v>
      </c>
      <c r="J114" t="s">
        <v>102</v>
      </c>
      <c r="K114">
        <v>1906467538</v>
      </c>
      <c r="L114" t="s">
        <v>150</v>
      </c>
      <c r="M114" t="s">
        <v>147</v>
      </c>
      <c r="N114" t="s">
        <v>148</v>
      </c>
      <c r="O114" t="s">
        <v>30</v>
      </c>
      <c r="P114" t="s">
        <v>59</v>
      </c>
      <c r="Q114">
        <v>899289</v>
      </c>
      <c r="R114" t="s">
        <v>1088</v>
      </c>
      <c r="S114" t="s">
        <v>1089</v>
      </c>
      <c r="T114">
        <v>-2871948450</v>
      </c>
      <c r="U114" t="s">
        <v>34</v>
      </c>
      <c r="V114" t="s">
        <v>2476</v>
      </c>
      <c r="W114" s="1">
        <v>44385</v>
      </c>
    </row>
    <row r="115" spans="1:23" x14ac:dyDescent="0.25">
      <c r="A115" t="s">
        <v>1092</v>
      </c>
      <c r="B115" s="1">
        <v>45418</v>
      </c>
      <c r="C115" t="s">
        <v>1093</v>
      </c>
      <c r="D115" t="s">
        <v>1094</v>
      </c>
      <c r="E115" t="s">
        <v>73</v>
      </c>
      <c r="F115">
        <v>101.78</v>
      </c>
      <c r="G115" t="s">
        <v>61</v>
      </c>
      <c r="H115">
        <v>75.451599999999999</v>
      </c>
      <c r="I115">
        <v>-436722.13</v>
      </c>
      <c r="J115" t="s">
        <v>38</v>
      </c>
      <c r="K115">
        <v>4063701408</v>
      </c>
      <c r="L115" t="s">
        <v>39</v>
      </c>
      <c r="M115" t="s">
        <v>28</v>
      </c>
      <c r="N115" t="s">
        <v>119</v>
      </c>
      <c r="O115" t="s">
        <v>79</v>
      </c>
      <c r="P115" t="s">
        <v>126</v>
      </c>
      <c r="Q115">
        <v>191</v>
      </c>
      <c r="R115" t="s">
        <v>1095</v>
      </c>
      <c r="S115" t="s">
        <v>1096</v>
      </c>
      <c r="T115">
        <v>4049695957</v>
      </c>
      <c r="U115" t="s">
        <v>34</v>
      </c>
      <c r="V115" t="s">
        <v>2474</v>
      </c>
      <c r="W115" s="1">
        <v>44100</v>
      </c>
    </row>
    <row r="116" spans="1:23" x14ac:dyDescent="0.25">
      <c r="A116" t="s">
        <v>1099</v>
      </c>
      <c r="B116" s="1">
        <v>45330</v>
      </c>
      <c r="C116" t="s">
        <v>1100</v>
      </c>
      <c r="D116" t="s">
        <v>536</v>
      </c>
      <c r="E116" t="s">
        <v>73</v>
      </c>
      <c r="F116">
        <v>448.15</v>
      </c>
      <c r="G116" t="s">
        <v>66</v>
      </c>
      <c r="H116">
        <v>1</v>
      </c>
      <c r="I116">
        <v>-1130312.79</v>
      </c>
      <c r="J116" t="s">
        <v>26</v>
      </c>
      <c r="K116">
        <v>6778005313</v>
      </c>
      <c r="L116" t="s">
        <v>27</v>
      </c>
      <c r="M116" t="s">
        <v>28</v>
      </c>
      <c r="N116" t="s">
        <v>119</v>
      </c>
      <c r="O116" t="s">
        <v>70</v>
      </c>
      <c r="P116" t="s">
        <v>75</v>
      </c>
      <c r="Q116">
        <v>179347</v>
      </c>
      <c r="R116" t="s">
        <v>1101</v>
      </c>
      <c r="S116" t="s">
        <v>883</v>
      </c>
      <c r="T116">
        <v>6590161133</v>
      </c>
      <c r="U116" t="s">
        <v>34</v>
      </c>
      <c r="V116" t="s">
        <v>2475</v>
      </c>
      <c r="W116" s="1">
        <v>2024</v>
      </c>
    </row>
    <row r="117" spans="1:23" x14ac:dyDescent="0.25">
      <c r="A117" t="s">
        <v>1105</v>
      </c>
      <c r="B117" s="1">
        <v>45638</v>
      </c>
      <c r="C117" t="s">
        <v>667</v>
      </c>
      <c r="D117" t="s">
        <v>456</v>
      </c>
      <c r="E117" t="s">
        <v>24</v>
      </c>
      <c r="F117">
        <v>105.28</v>
      </c>
      <c r="G117" t="s">
        <v>61</v>
      </c>
      <c r="H117">
        <v>81.916300000000007</v>
      </c>
      <c r="I117">
        <v>-594057.41</v>
      </c>
      <c r="J117" t="s">
        <v>81</v>
      </c>
      <c r="K117">
        <v>-3222095118</v>
      </c>
      <c r="L117" t="s">
        <v>82</v>
      </c>
      <c r="M117" t="s">
        <v>121</v>
      </c>
      <c r="N117" t="s">
        <v>122</v>
      </c>
      <c r="O117" t="s">
        <v>42</v>
      </c>
      <c r="P117" t="s">
        <v>126</v>
      </c>
      <c r="Q117">
        <v>448811</v>
      </c>
      <c r="R117" t="s">
        <v>1106</v>
      </c>
      <c r="S117" t="s">
        <v>1107</v>
      </c>
      <c r="T117">
        <v>1959141296</v>
      </c>
      <c r="U117" t="s">
        <v>34</v>
      </c>
      <c r="V117" t="s">
        <v>2478</v>
      </c>
      <c r="W117" s="1">
        <v>44946</v>
      </c>
    </row>
    <row r="118" spans="1:23" x14ac:dyDescent="0.25">
      <c r="A118" t="s">
        <v>1110</v>
      </c>
      <c r="B118" s="1">
        <v>45999</v>
      </c>
      <c r="C118" t="s">
        <v>1111</v>
      </c>
      <c r="D118" t="s">
        <v>289</v>
      </c>
      <c r="E118" t="s">
        <v>24</v>
      </c>
      <c r="F118">
        <v>24.79</v>
      </c>
      <c r="G118" t="s">
        <v>66</v>
      </c>
      <c r="H118">
        <v>1</v>
      </c>
      <c r="I118">
        <v>-537600.75</v>
      </c>
      <c r="J118" t="s">
        <v>67</v>
      </c>
      <c r="K118">
        <v>2342978175</v>
      </c>
      <c r="L118" t="s">
        <v>178</v>
      </c>
      <c r="M118" t="s">
        <v>83</v>
      </c>
      <c r="N118" t="s">
        <v>84</v>
      </c>
      <c r="O118" t="s">
        <v>100</v>
      </c>
      <c r="P118" t="s">
        <v>31</v>
      </c>
      <c r="Q118">
        <v>517429</v>
      </c>
      <c r="R118" t="s">
        <v>1112</v>
      </c>
      <c r="S118" t="s">
        <v>1113</v>
      </c>
      <c r="T118">
        <v>4992645225</v>
      </c>
      <c r="U118" t="s">
        <v>34</v>
      </c>
      <c r="V118" t="s">
        <v>2474</v>
      </c>
      <c r="W118" s="1">
        <v>43378</v>
      </c>
    </row>
    <row r="119" spans="1:23" x14ac:dyDescent="0.25">
      <c r="A119" t="s">
        <v>1114</v>
      </c>
      <c r="B119" s="1">
        <v>45598</v>
      </c>
      <c r="C119" t="s">
        <v>1115</v>
      </c>
      <c r="D119" t="s">
        <v>571</v>
      </c>
      <c r="E119" t="s">
        <v>73</v>
      </c>
      <c r="F119">
        <v>7.43</v>
      </c>
      <c r="G119" t="s">
        <v>56</v>
      </c>
      <c r="H119">
        <v>20.661100000000001</v>
      </c>
      <c r="I119">
        <v>-163734.73000000001</v>
      </c>
      <c r="J119" t="s">
        <v>26</v>
      </c>
      <c r="K119">
        <v>2965556874</v>
      </c>
      <c r="L119" t="s">
        <v>27</v>
      </c>
      <c r="M119" t="s">
        <v>40</v>
      </c>
      <c r="N119" t="s">
        <v>106</v>
      </c>
      <c r="O119" t="s">
        <v>79</v>
      </c>
      <c r="P119" t="s">
        <v>53</v>
      </c>
      <c r="Q119">
        <v>315370</v>
      </c>
      <c r="R119" t="s">
        <v>1116</v>
      </c>
      <c r="S119" t="s">
        <v>800</v>
      </c>
      <c r="T119">
        <v>375716031</v>
      </c>
      <c r="U119" t="s">
        <v>34</v>
      </c>
      <c r="V119" t="s">
        <v>2474</v>
      </c>
      <c r="W119" s="1">
        <v>42622</v>
      </c>
    </row>
    <row r="120" spans="1:23" x14ac:dyDescent="0.25">
      <c r="A120" t="s">
        <v>1117</v>
      </c>
      <c r="B120" s="1">
        <v>45814</v>
      </c>
      <c r="C120" t="s">
        <v>1118</v>
      </c>
      <c r="D120" t="s">
        <v>1119</v>
      </c>
      <c r="E120" t="s">
        <v>73</v>
      </c>
      <c r="F120">
        <v>17.62</v>
      </c>
      <c r="G120" t="s">
        <v>56</v>
      </c>
      <c r="H120">
        <v>18.093800000000002</v>
      </c>
      <c r="I120">
        <v>-1284180.1399999999</v>
      </c>
      <c r="J120" t="s">
        <v>102</v>
      </c>
      <c r="K120">
        <v>7540733428</v>
      </c>
      <c r="L120" t="s">
        <v>150</v>
      </c>
      <c r="M120" t="s">
        <v>121</v>
      </c>
      <c r="N120" t="s">
        <v>122</v>
      </c>
      <c r="O120" t="s">
        <v>100</v>
      </c>
      <c r="P120" t="s">
        <v>153</v>
      </c>
      <c r="Q120">
        <v>287501</v>
      </c>
      <c r="R120" t="s">
        <v>1120</v>
      </c>
      <c r="S120" t="s">
        <v>1121</v>
      </c>
      <c r="T120">
        <v>-1245438206</v>
      </c>
      <c r="U120" t="s">
        <v>34</v>
      </c>
      <c r="V120" t="s">
        <v>2476</v>
      </c>
      <c r="W120" s="1">
        <v>43678</v>
      </c>
    </row>
    <row r="121" spans="1:23" x14ac:dyDescent="0.25">
      <c r="A121" t="s">
        <v>1128</v>
      </c>
      <c r="B121" s="1">
        <v>45812</v>
      </c>
      <c r="C121" t="s">
        <v>1129</v>
      </c>
      <c r="D121" t="s">
        <v>312</v>
      </c>
      <c r="E121" t="s">
        <v>55</v>
      </c>
      <c r="F121">
        <v>7.97</v>
      </c>
      <c r="G121" t="s">
        <v>66</v>
      </c>
      <c r="H121">
        <v>1</v>
      </c>
      <c r="I121">
        <v>-2463533.36</v>
      </c>
      <c r="J121" t="s">
        <v>116</v>
      </c>
      <c r="K121">
        <v>8545145288</v>
      </c>
      <c r="L121" t="s">
        <v>134</v>
      </c>
      <c r="M121" t="s">
        <v>147</v>
      </c>
      <c r="N121" t="s">
        <v>148</v>
      </c>
      <c r="O121" t="s">
        <v>79</v>
      </c>
      <c r="P121" t="s">
        <v>43</v>
      </c>
      <c r="Q121">
        <v>859592</v>
      </c>
      <c r="R121" t="s">
        <v>1130</v>
      </c>
      <c r="S121" t="s">
        <v>313</v>
      </c>
      <c r="T121">
        <v>2489713977</v>
      </c>
      <c r="U121" t="s">
        <v>34</v>
      </c>
      <c r="V121" t="s">
        <v>2474</v>
      </c>
      <c r="W121" s="1">
        <v>45986</v>
      </c>
    </row>
    <row r="122" spans="1:23" x14ac:dyDescent="0.25">
      <c r="A122" t="s">
        <v>1132</v>
      </c>
      <c r="B122" s="1">
        <v>45755</v>
      </c>
      <c r="C122" t="s">
        <v>1133</v>
      </c>
      <c r="D122" t="s">
        <v>323</v>
      </c>
      <c r="E122" t="s">
        <v>73</v>
      </c>
      <c r="F122">
        <v>15.25</v>
      </c>
      <c r="G122" t="s">
        <v>61</v>
      </c>
      <c r="H122">
        <v>79.968599999999995</v>
      </c>
      <c r="I122">
        <v>-1008882.16</v>
      </c>
      <c r="J122" t="s">
        <v>26</v>
      </c>
      <c r="K122">
        <v>4017857811</v>
      </c>
      <c r="L122" t="s">
        <v>27</v>
      </c>
      <c r="M122" t="s">
        <v>57</v>
      </c>
      <c r="N122" t="s">
        <v>63</v>
      </c>
      <c r="O122" t="s">
        <v>42</v>
      </c>
      <c r="P122" t="s">
        <v>153</v>
      </c>
      <c r="Q122">
        <v>603155</v>
      </c>
      <c r="R122" t="s">
        <v>1134</v>
      </c>
      <c r="S122" t="s">
        <v>440</v>
      </c>
      <c r="T122">
        <v>556113791</v>
      </c>
      <c r="U122" t="s">
        <v>34</v>
      </c>
      <c r="V122" t="s">
        <v>2473</v>
      </c>
      <c r="W122" s="1">
        <v>42802</v>
      </c>
    </row>
    <row r="123" spans="1:23" x14ac:dyDescent="0.25">
      <c r="A123" t="s">
        <v>1135</v>
      </c>
      <c r="B123" s="1">
        <v>45724</v>
      </c>
      <c r="C123" t="s">
        <v>1136</v>
      </c>
      <c r="D123" t="s">
        <v>402</v>
      </c>
      <c r="E123" t="s">
        <v>24</v>
      </c>
      <c r="F123">
        <v>90.68</v>
      </c>
      <c r="G123" t="s">
        <v>66</v>
      </c>
      <c r="H123">
        <v>1</v>
      </c>
      <c r="I123">
        <v>-1936740.59</v>
      </c>
      <c r="J123" t="s">
        <v>62</v>
      </c>
      <c r="K123">
        <v>8034508457</v>
      </c>
      <c r="L123" t="s">
        <v>131</v>
      </c>
      <c r="M123" t="s">
        <v>121</v>
      </c>
      <c r="N123" t="s">
        <v>222</v>
      </c>
      <c r="O123" t="s">
        <v>52</v>
      </c>
      <c r="P123" t="s">
        <v>153</v>
      </c>
      <c r="Q123">
        <v>151954</v>
      </c>
      <c r="R123" t="s">
        <v>1137</v>
      </c>
      <c r="S123" t="s">
        <v>1138</v>
      </c>
      <c r="T123">
        <v>-5633994211</v>
      </c>
      <c r="U123" t="s">
        <v>34</v>
      </c>
      <c r="V123" t="s">
        <v>2473</v>
      </c>
      <c r="W123" s="1">
        <v>2020</v>
      </c>
    </row>
    <row r="124" spans="1:23" x14ac:dyDescent="0.25">
      <c r="A124" t="s">
        <v>1139</v>
      </c>
      <c r="B124" s="1">
        <v>45332</v>
      </c>
      <c r="C124" t="s">
        <v>406</v>
      </c>
      <c r="D124" t="s">
        <v>636</v>
      </c>
      <c r="E124" t="s">
        <v>73</v>
      </c>
      <c r="F124">
        <v>33.96</v>
      </c>
      <c r="G124" t="s">
        <v>61</v>
      </c>
      <c r="H124">
        <v>82.385000000000005</v>
      </c>
      <c r="I124">
        <v>-175447.9</v>
      </c>
      <c r="J124" t="s">
        <v>67</v>
      </c>
      <c r="K124">
        <v>2965556874</v>
      </c>
      <c r="L124" t="s">
        <v>178</v>
      </c>
      <c r="M124" t="s">
        <v>147</v>
      </c>
      <c r="N124" t="s">
        <v>155</v>
      </c>
      <c r="O124" t="s">
        <v>70</v>
      </c>
      <c r="P124" t="s">
        <v>31</v>
      </c>
      <c r="Q124">
        <v>372014</v>
      </c>
      <c r="R124" t="s">
        <v>686</v>
      </c>
      <c r="S124" t="s">
        <v>637</v>
      </c>
      <c r="T124">
        <v>7150763714</v>
      </c>
      <c r="U124" t="s">
        <v>34</v>
      </c>
      <c r="V124" t="s">
        <v>2474</v>
      </c>
      <c r="W124" s="1">
        <v>2016</v>
      </c>
    </row>
    <row r="125" spans="1:23" x14ac:dyDescent="0.25">
      <c r="A125" t="s">
        <v>1141</v>
      </c>
      <c r="B125" s="1">
        <v>45755</v>
      </c>
      <c r="C125" t="s">
        <v>1142</v>
      </c>
      <c r="D125" t="s">
        <v>377</v>
      </c>
      <c r="E125" t="s">
        <v>24</v>
      </c>
      <c r="F125">
        <v>11.33</v>
      </c>
      <c r="G125" t="s">
        <v>66</v>
      </c>
      <c r="H125">
        <v>1</v>
      </c>
      <c r="I125">
        <v>-2922735.2</v>
      </c>
      <c r="J125" t="s">
        <v>81</v>
      </c>
      <c r="K125">
        <v>3796619997</v>
      </c>
      <c r="L125" t="s">
        <v>82</v>
      </c>
      <c r="M125" t="s">
        <v>40</v>
      </c>
      <c r="N125" t="s">
        <v>139</v>
      </c>
      <c r="O125" t="s">
        <v>42</v>
      </c>
      <c r="P125" t="s">
        <v>71</v>
      </c>
      <c r="Q125">
        <v>263272</v>
      </c>
      <c r="R125" t="s">
        <v>1143</v>
      </c>
      <c r="S125" t="s">
        <v>905</v>
      </c>
      <c r="T125">
        <v>864595676</v>
      </c>
      <c r="U125" t="s">
        <v>34</v>
      </c>
      <c r="V125" t="s">
        <v>2477</v>
      </c>
      <c r="W125" s="1">
        <v>2020</v>
      </c>
    </row>
    <row r="126" spans="1:23" x14ac:dyDescent="0.25">
      <c r="A126" t="s">
        <v>1144</v>
      </c>
      <c r="B126" s="1">
        <v>45720</v>
      </c>
      <c r="C126" t="s">
        <v>1145</v>
      </c>
      <c r="D126" t="s">
        <v>381</v>
      </c>
      <c r="E126" t="s">
        <v>24</v>
      </c>
      <c r="F126">
        <v>7.27</v>
      </c>
      <c r="G126" t="s">
        <v>66</v>
      </c>
      <c r="H126">
        <v>1</v>
      </c>
      <c r="I126">
        <v>-2538940.36</v>
      </c>
      <c r="J126" t="s">
        <v>26</v>
      </c>
      <c r="K126">
        <v>-1883308155</v>
      </c>
      <c r="L126" t="s">
        <v>27</v>
      </c>
      <c r="M126" t="s">
        <v>28</v>
      </c>
      <c r="N126" t="s">
        <v>29</v>
      </c>
      <c r="O126" t="s">
        <v>42</v>
      </c>
      <c r="P126" t="s">
        <v>153</v>
      </c>
      <c r="Q126">
        <v>238451</v>
      </c>
      <c r="R126" t="s">
        <v>1146</v>
      </c>
      <c r="S126" t="s">
        <v>382</v>
      </c>
      <c r="T126">
        <v>-8682256924</v>
      </c>
      <c r="U126" t="s">
        <v>34</v>
      </c>
      <c r="V126" t="s">
        <v>2476</v>
      </c>
      <c r="W126" s="1">
        <v>2024</v>
      </c>
    </row>
    <row r="127" spans="1:23" x14ac:dyDescent="0.25">
      <c r="A127" t="s">
        <v>1147</v>
      </c>
      <c r="B127" s="1">
        <v>45057</v>
      </c>
      <c r="C127" t="s">
        <v>1148</v>
      </c>
      <c r="D127" t="s">
        <v>231</v>
      </c>
      <c r="E127" t="s">
        <v>73</v>
      </c>
      <c r="F127">
        <v>59.36</v>
      </c>
      <c r="G127" t="s">
        <v>66</v>
      </c>
      <c r="H127">
        <v>1</v>
      </c>
      <c r="I127">
        <v>-2935654.31</v>
      </c>
      <c r="J127" t="s">
        <v>67</v>
      </c>
      <c r="K127">
        <v>9759670967</v>
      </c>
      <c r="L127" t="s">
        <v>178</v>
      </c>
      <c r="M127" t="s">
        <v>83</v>
      </c>
      <c r="N127" t="s">
        <v>84</v>
      </c>
      <c r="O127" t="s">
        <v>52</v>
      </c>
      <c r="P127" t="s">
        <v>107</v>
      </c>
      <c r="Q127">
        <v>896655</v>
      </c>
      <c r="R127" t="s">
        <v>1149</v>
      </c>
      <c r="S127" t="s">
        <v>443</v>
      </c>
      <c r="T127">
        <v>4165950433</v>
      </c>
      <c r="U127" t="s">
        <v>34</v>
      </c>
      <c r="V127" t="s">
        <v>2477</v>
      </c>
      <c r="W127" s="1">
        <v>2015</v>
      </c>
    </row>
    <row r="128" spans="1:23" x14ac:dyDescent="0.25">
      <c r="A128" t="s">
        <v>1151</v>
      </c>
      <c r="B128" s="1">
        <v>45870</v>
      </c>
      <c r="C128" t="s">
        <v>982</v>
      </c>
      <c r="D128" t="s">
        <v>510</v>
      </c>
      <c r="E128" t="s">
        <v>55</v>
      </c>
      <c r="F128">
        <v>-118.19</v>
      </c>
      <c r="G128" t="s">
        <v>61</v>
      </c>
      <c r="H128">
        <v>75.153300000000002</v>
      </c>
      <c r="I128">
        <v>-1198296.58</v>
      </c>
      <c r="J128" t="s">
        <v>91</v>
      </c>
      <c r="K128">
        <v>-6233747945</v>
      </c>
      <c r="L128" t="s">
        <v>92</v>
      </c>
      <c r="M128" t="s">
        <v>40</v>
      </c>
      <c r="N128" t="s">
        <v>139</v>
      </c>
      <c r="O128" t="s">
        <v>30</v>
      </c>
      <c r="P128" t="s">
        <v>126</v>
      </c>
      <c r="Q128">
        <v>294914</v>
      </c>
      <c r="R128" t="s">
        <v>1152</v>
      </c>
      <c r="S128" t="s">
        <v>214</v>
      </c>
      <c r="T128">
        <v>5505678449</v>
      </c>
      <c r="U128" t="s">
        <v>34</v>
      </c>
      <c r="V128" t="s">
        <v>2475</v>
      </c>
      <c r="W128" s="1">
        <v>2017</v>
      </c>
    </row>
    <row r="129" spans="1:23" x14ac:dyDescent="0.25">
      <c r="A129" t="s">
        <v>1155</v>
      </c>
      <c r="B129" s="1">
        <v>45474</v>
      </c>
      <c r="C129" t="s">
        <v>1156</v>
      </c>
      <c r="D129" t="s">
        <v>437</v>
      </c>
      <c r="E129" t="s">
        <v>73</v>
      </c>
      <c r="F129">
        <v>10.24</v>
      </c>
      <c r="G129" t="s">
        <v>61</v>
      </c>
      <c r="H129">
        <v>80.042100000000005</v>
      </c>
      <c r="I129">
        <v>-441458.75</v>
      </c>
      <c r="J129" t="s">
        <v>62</v>
      </c>
      <c r="K129">
        <v>3172828875</v>
      </c>
      <c r="L129" t="s">
        <v>131</v>
      </c>
      <c r="M129" t="s">
        <v>50</v>
      </c>
      <c r="N129" t="s">
        <v>51</v>
      </c>
      <c r="O129" t="s">
        <v>52</v>
      </c>
      <c r="P129" t="s">
        <v>126</v>
      </c>
      <c r="Q129">
        <v>954907</v>
      </c>
      <c r="R129" t="s">
        <v>1157</v>
      </c>
      <c r="S129" t="s">
        <v>1158</v>
      </c>
      <c r="T129">
        <v>2487553495</v>
      </c>
      <c r="U129" t="s">
        <v>34</v>
      </c>
      <c r="V129" t="s">
        <v>2475</v>
      </c>
      <c r="W129" s="1">
        <v>44714</v>
      </c>
    </row>
    <row r="130" spans="1:23" x14ac:dyDescent="0.25">
      <c r="A130" t="s">
        <v>1159</v>
      </c>
      <c r="B130" s="1">
        <v>45637</v>
      </c>
      <c r="C130" t="s">
        <v>1160</v>
      </c>
      <c r="D130" t="s">
        <v>348</v>
      </c>
      <c r="E130" t="s">
        <v>24</v>
      </c>
      <c r="F130">
        <v>33.700000000000003</v>
      </c>
      <c r="G130" t="s">
        <v>61</v>
      </c>
      <c r="H130">
        <v>74.457499999999996</v>
      </c>
      <c r="I130">
        <v>-2625213.13</v>
      </c>
      <c r="J130" t="s">
        <v>62</v>
      </c>
      <c r="K130">
        <v>3337245332</v>
      </c>
      <c r="L130" t="s">
        <v>131</v>
      </c>
      <c r="M130" t="s">
        <v>147</v>
      </c>
      <c r="N130" t="s">
        <v>148</v>
      </c>
      <c r="O130" t="s">
        <v>70</v>
      </c>
      <c r="P130" t="s">
        <v>43</v>
      </c>
      <c r="Q130">
        <v>220638</v>
      </c>
      <c r="R130">
        <v>4674450000000000</v>
      </c>
      <c r="S130" t="s">
        <v>1161</v>
      </c>
      <c r="T130">
        <v>8447133376</v>
      </c>
      <c r="U130" t="s">
        <v>34</v>
      </c>
      <c r="V130" t="s">
        <v>2474</v>
      </c>
      <c r="W130" s="1">
        <v>44899</v>
      </c>
    </row>
    <row r="131" spans="1:23" x14ac:dyDescent="0.25">
      <c r="A131" t="s">
        <v>1164</v>
      </c>
      <c r="B131" s="1">
        <v>44997</v>
      </c>
      <c r="C131" t="s">
        <v>1165</v>
      </c>
      <c r="D131" t="s">
        <v>387</v>
      </c>
      <c r="E131" t="s">
        <v>24</v>
      </c>
      <c r="F131">
        <v>-75.72</v>
      </c>
      <c r="G131" t="s">
        <v>47</v>
      </c>
      <c r="H131">
        <v>97.957599999999999</v>
      </c>
      <c r="I131">
        <v>-2677864.92</v>
      </c>
      <c r="J131" t="s">
        <v>67</v>
      </c>
      <c r="K131">
        <v>9431003025</v>
      </c>
      <c r="L131" t="s">
        <v>178</v>
      </c>
      <c r="M131" t="s">
        <v>40</v>
      </c>
      <c r="N131" t="s">
        <v>41</v>
      </c>
      <c r="O131" t="s">
        <v>42</v>
      </c>
      <c r="P131" t="s">
        <v>153</v>
      </c>
      <c r="Q131">
        <v>400303</v>
      </c>
      <c r="R131" t="s">
        <v>1166</v>
      </c>
      <c r="S131" t="s">
        <v>1167</v>
      </c>
      <c r="T131">
        <v>819714338</v>
      </c>
      <c r="U131" t="s">
        <v>34</v>
      </c>
      <c r="V131" t="s">
        <v>2476</v>
      </c>
      <c r="W131" s="1">
        <v>43034</v>
      </c>
    </row>
    <row r="132" spans="1:23" x14ac:dyDescent="0.25">
      <c r="A132" t="s">
        <v>1169</v>
      </c>
      <c r="B132" s="1">
        <v>45936</v>
      </c>
      <c r="C132" t="s">
        <v>1170</v>
      </c>
      <c r="D132" t="s">
        <v>645</v>
      </c>
      <c r="E132" t="s">
        <v>73</v>
      </c>
      <c r="F132">
        <v>11.03</v>
      </c>
      <c r="G132" t="s">
        <v>61</v>
      </c>
      <c r="H132">
        <v>80.263999999999996</v>
      </c>
      <c r="I132">
        <v>-1774643.37</v>
      </c>
      <c r="J132" t="s">
        <v>116</v>
      </c>
      <c r="K132">
        <v>574762924</v>
      </c>
      <c r="L132" t="s">
        <v>134</v>
      </c>
      <c r="M132" t="s">
        <v>77</v>
      </c>
      <c r="N132" t="s">
        <v>307</v>
      </c>
      <c r="O132" t="s">
        <v>30</v>
      </c>
      <c r="P132" t="s">
        <v>59</v>
      </c>
      <c r="Q132">
        <v>208207</v>
      </c>
      <c r="R132">
        <v>4005040000000000</v>
      </c>
      <c r="S132" t="s">
        <v>1171</v>
      </c>
      <c r="T132">
        <v>-3483208629</v>
      </c>
      <c r="U132" t="s">
        <v>34</v>
      </c>
      <c r="V132" t="s">
        <v>2478</v>
      </c>
      <c r="W132" s="1">
        <v>42275</v>
      </c>
    </row>
    <row r="133" spans="1:23" x14ac:dyDescent="0.25">
      <c r="A133" t="s">
        <v>1172</v>
      </c>
      <c r="B133" s="1">
        <v>45026</v>
      </c>
      <c r="C133" t="s">
        <v>1173</v>
      </c>
      <c r="D133" t="s">
        <v>299</v>
      </c>
      <c r="E133" t="s">
        <v>73</v>
      </c>
      <c r="F133">
        <v>12.11</v>
      </c>
      <c r="G133" t="s">
        <v>61</v>
      </c>
      <c r="H133">
        <v>77.552300000000002</v>
      </c>
      <c r="I133">
        <v>-1626767.17</v>
      </c>
      <c r="J133" t="s">
        <v>91</v>
      </c>
      <c r="K133">
        <v>5823851638</v>
      </c>
      <c r="L133" t="s">
        <v>92</v>
      </c>
      <c r="M133" t="s">
        <v>121</v>
      </c>
      <c r="N133" t="s">
        <v>122</v>
      </c>
      <c r="O133" t="s">
        <v>79</v>
      </c>
      <c r="P133" t="s">
        <v>71</v>
      </c>
      <c r="Q133">
        <v>643778</v>
      </c>
      <c r="R133" t="s">
        <v>1174</v>
      </c>
      <c r="S133" t="s">
        <v>876</v>
      </c>
      <c r="T133">
        <v>591721860</v>
      </c>
      <c r="U133" t="s">
        <v>34</v>
      </c>
      <c r="V133" t="s">
        <v>2478</v>
      </c>
      <c r="W133" s="1">
        <v>43291</v>
      </c>
    </row>
    <row r="134" spans="1:23" x14ac:dyDescent="0.25">
      <c r="A134" t="s">
        <v>1177</v>
      </c>
      <c r="B134" s="1">
        <v>45542</v>
      </c>
      <c r="C134" t="s">
        <v>1178</v>
      </c>
      <c r="D134" t="s">
        <v>309</v>
      </c>
      <c r="E134" t="s">
        <v>73</v>
      </c>
      <c r="F134">
        <v>6.44</v>
      </c>
      <c r="G134" t="s">
        <v>61</v>
      </c>
      <c r="H134">
        <v>78.463200000000001</v>
      </c>
      <c r="I134">
        <v>-2514489.2799999998</v>
      </c>
      <c r="J134" t="s">
        <v>81</v>
      </c>
      <c r="K134">
        <v>2597454993</v>
      </c>
      <c r="L134" t="s">
        <v>82</v>
      </c>
      <c r="M134" t="s">
        <v>147</v>
      </c>
      <c r="N134" t="s">
        <v>155</v>
      </c>
      <c r="O134" t="s">
        <v>100</v>
      </c>
      <c r="P134" t="s">
        <v>93</v>
      </c>
      <c r="Q134">
        <v>177939</v>
      </c>
      <c r="R134" t="s">
        <v>1179</v>
      </c>
      <c r="S134" t="s">
        <v>1180</v>
      </c>
      <c r="T134">
        <v>939664735</v>
      </c>
      <c r="U134" t="s">
        <v>34</v>
      </c>
      <c r="V134" t="s">
        <v>2474</v>
      </c>
      <c r="W134" s="1">
        <v>44805</v>
      </c>
    </row>
    <row r="135" spans="1:23" x14ac:dyDescent="0.25">
      <c r="A135" t="s">
        <v>1181</v>
      </c>
      <c r="B135" s="1">
        <v>45536</v>
      </c>
      <c r="C135" t="s">
        <v>1182</v>
      </c>
      <c r="D135" t="s">
        <v>104</v>
      </c>
      <c r="E135" t="s">
        <v>73</v>
      </c>
      <c r="F135">
        <v>61.3</v>
      </c>
      <c r="G135" t="s">
        <v>61</v>
      </c>
      <c r="H135">
        <v>79.924800000000005</v>
      </c>
      <c r="I135">
        <v>-1197747.3600000001</v>
      </c>
      <c r="J135" t="s">
        <v>81</v>
      </c>
      <c r="K135">
        <v>-4123356991</v>
      </c>
      <c r="L135" t="s">
        <v>82</v>
      </c>
      <c r="M135" t="s">
        <v>40</v>
      </c>
      <c r="N135" t="s">
        <v>41</v>
      </c>
      <c r="O135" t="s">
        <v>100</v>
      </c>
      <c r="P135" t="s">
        <v>75</v>
      </c>
      <c r="Q135">
        <v>273957</v>
      </c>
      <c r="R135" t="s">
        <v>1183</v>
      </c>
      <c r="S135" t="s">
        <v>1184</v>
      </c>
      <c r="T135">
        <v>5598153318</v>
      </c>
      <c r="U135" t="s">
        <v>34</v>
      </c>
      <c r="V135" t="s">
        <v>2475</v>
      </c>
      <c r="W135" s="1">
        <v>45413</v>
      </c>
    </row>
    <row r="136" spans="1:23" x14ac:dyDescent="0.25">
      <c r="A136" t="s">
        <v>1185</v>
      </c>
      <c r="B136" s="1">
        <v>45723</v>
      </c>
      <c r="C136" t="s">
        <v>1186</v>
      </c>
      <c r="D136" t="s">
        <v>843</v>
      </c>
      <c r="E136" t="s">
        <v>73</v>
      </c>
      <c r="F136">
        <v>11.51</v>
      </c>
      <c r="G136" t="s">
        <v>61</v>
      </c>
      <c r="H136">
        <v>73.175700000000006</v>
      </c>
      <c r="I136">
        <v>-2235815.7799999998</v>
      </c>
      <c r="J136" t="s">
        <v>128</v>
      </c>
      <c r="K136">
        <v>6382782123</v>
      </c>
      <c r="L136" t="s">
        <v>129</v>
      </c>
      <c r="M136" t="s">
        <v>121</v>
      </c>
      <c r="N136" t="s">
        <v>222</v>
      </c>
      <c r="O136" t="s">
        <v>79</v>
      </c>
      <c r="P136" t="s">
        <v>31</v>
      </c>
      <c r="Q136">
        <v>186539</v>
      </c>
      <c r="R136">
        <v>4593110000000000</v>
      </c>
      <c r="S136" t="s">
        <v>844</v>
      </c>
      <c r="T136">
        <v>4295193256</v>
      </c>
      <c r="U136" t="s">
        <v>34</v>
      </c>
      <c r="V136" t="s">
        <v>2474</v>
      </c>
      <c r="W136" s="1">
        <v>42296</v>
      </c>
    </row>
    <row r="137" spans="1:23" x14ac:dyDescent="0.25">
      <c r="A137" t="s">
        <v>1188</v>
      </c>
      <c r="B137" s="1">
        <v>45241</v>
      </c>
      <c r="C137" t="s">
        <v>1189</v>
      </c>
      <c r="D137" t="s">
        <v>999</v>
      </c>
      <c r="E137" t="s">
        <v>73</v>
      </c>
      <c r="F137">
        <v>17.149999999999999</v>
      </c>
      <c r="G137" t="s">
        <v>66</v>
      </c>
      <c r="H137">
        <v>1</v>
      </c>
      <c r="I137">
        <v>-1626407.49</v>
      </c>
      <c r="J137" t="s">
        <v>62</v>
      </c>
      <c r="K137">
        <v>4532127538</v>
      </c>
      <c r="L137" t="s">
        <v>131</v>
      </c>
      <c r="M137" t="s">
        <v>147</v>
      </c>
      <c r="N137" t="s">
        <v>148</v>
      </c>
      <c r="O137" t="s">
        <v>70</v>
      </c>
      <c r="P137" t="s">
        <v>71</v>
      </c>
      <c r="Q137">
        <v>258126</v>
      </c>
      <c r="R137" t="s">
        <v>1190</v>
      </c>
      <c r="S137" t="s">
        <v>1066</v>
      </c>
      <c r="T137">
        <v>6571465870</v>
      </c>
      <c r="U137" t="s">
        <v>34</v>
      </c>
      <c r="V137" t="s">
        <v>2472</v>
      </c>
      <c r="W137" s="1">
        <v>43225</v>
      </c>
    </row>
    <row r="138" spans="1:23" x14ac:dyDescent="0.25">
      <c r="A138" t="s">
        <v>1194</v>
      </c>
      <c r="B138" s="1">
        <v>45089</v>
      </c>
      <c r="C138" t="s">
        <v>1195</v>
      </c>
      <c r="D138" t="s">
        <v>649</v>
      </c>
      <c r="E138" t="s">
        <v>73</v>
      </c>
      <c r="F138">
        <v>35.96</v>
      </c>
      <c r="G138" t="s">
        <v>61</v>
      </c>
      <c r="H138">
        <v>80.382400000000004</v>
      </c>
      <c r="I138">
        <v>-155363.71</v>
      </c>
      <c r="J138" t="s">
        <v>86</v>
      </c>
      <c r="K138">
        <v>1697949367</v>
      </c>
      <c r="L138" t="s">
        <v>181</v>
      </c>
      <c r="M138" t="s">
        <v>68</v>
      </c>
      <c r="N138" t="s">
        <v>69</v>
      </c>
      <c r="O138" t="s">
        <v>70</v>
      </c>
      <c r="P138" t="s">
        <v>31</v>
      </c>
      <c r="Q138">
        <v>607288</v>
      </c>
      <c r="R138" t="s">
        <v>508</v>
      </c>
      <c r="S138" t="s">
        <v>1196</v>
      </c>
      <c r="T138">
        <v>1501999484</v>
      </c>
      <c r="U138" t="s">
        <v>34</v>
      </c>
      <c r="V138" t="s">
        <v>2472</v>
      </c>
      <c r="W138" s="1">
        <v>43191</v>
      </c>
    </row>
    <row r="139" spans="1:23" x14ac:dyDescent="0.25">
      <c r="A139" t="s">
        <v>1197</v>
      </c>
      <c r="B139" s="1">
        <v>45474</v>
      </c>
      <c r="C139" t="s">
        <v>1198</v>
      </c>
      <c r="D139" t="s">
        <v>820</v>
      </c>
      <c r="E139" t="s">
        <v>24</v>
      </c>
      <c r="F139">
        <v>-243.83</v>
      </c>
      <c r="G139" t="s">
        <v>47</v>
      </c>
      <c r="H139">
        <v>100.2731</v>
      </c>
      <c r="I139">
        <v>-2583069.36</v>
      </c>
      <c r="J139" t="s">
        <v>38</v>
      </c>
      <c r="K139">
        <v>9292638801</v>
      </c>
      <c r="L139" t="s">
        <v>39</v>
      </c>
      <c r="M139" t="s">
        <v>28</v>
      </c>
      <c r="N139" t="s">
        <v>119</v>
      </c>
      <c r="O139" t="s">
        <v>42</v>
      </c>
      <c r="P139" t="s">
        <v>75</v>
      </c>
      <c r="Q139">
        <v>152931</v>
      </c>
      <c r="R139" t="s">
        <v>1199</v>
      </c>
      <c r="S139" t="s">
        <v>1200</v>
      </c>
      <c r="T139">
        <v>9114210952</v>
      </c>
      <c r="U139" t="s">
        <v>34</v>
      </c>
      <c r="V139" t="s">
        <v>2472</v>
      </c>
      <c r="W139" s="1">
        <v>45307</v>
      </c>
    </row>
    <row r="140" spans="1:23" x14ac:dyDescent="0.25">
      <c r="A140" t="s">
        <v>1201</v>
      </c>
      <c r="B140" s="1">
        <v>45810</v>
      </c>
      <c r="C140" t="s">
        <v>420</v>
      </c>
      <c r="D140" t="s">
        <v>471</v>
      </c>
      <c r="E140" t="s">
        <v>73</v>
      </c>
      <c r="F140">
        <v>-126.77</v>
      </c>
      <c r="G140" t="s">
        <v>66</v>
      </c>
      <c r="H140">
        <v>1</v>
      </c>
      <c r="I140">
        <v>-2866446.93</v>
      </c>
      <c r="J140" t="s">
        <v>98</v>
      </c>
      <c r="K140">
        <v>8087611676</v>
      </c>
      <c r="L140" t="s">
        <v>99</v>
      </c>
      <c r="M140" t="s">
        <v>68</v>
      </c>
      <c r="N140" t="s">
        <v>114</v>
      </c>
      <c r="O140" t="s">
        <v>42</v>
      </c>
      <c r="P140" t="s">
        <v>43</v>
      </c>
      <c r="Q140">
        <v>933027</v>
      </c>
      <c r="R140" t="s">
        <v>1202</v>
      </c>
      <c r="S140" t="s">
        <v>1203</v>
      </c>
      <c r="T140">
        <v>7202071048</v>
      </c>
      <c r="U140" t="s">
        <v>34</v>
      </c>
      <c r="V140" t="s">
        <v>2478</v>
      </c>
      <c r="W140" s="1">
        <v>45383</v>
      </c>
    </row>
    <row r="141" spans="1:23" x14ac:dyDescent="0.25">
      <c r="A141" t="s">
        <v>1204</v>
      </c>
      <c r="B141" s="1">
        <v>45689</v>
      </c>
      <c r="C141" t="s">
        <v>991</v>
      </c>
      <c r="D141" t="s">
        <v>436</v>
      </c>
      <c r="E141" t="s">
        <v>24</v>
      </c>
      <c r="F141">
        <v>67.67</v>
      </c>
      <c r="G141" t="s">
        <v>61</v>
      </c>
      <c r="H141">
        <v>73.830600000000004</v>
      </c>
      <c r="I141">
        <v>-2232265.94</v>
      </c>
      <c r="J141" t="s">
        <v>62</v>
      </c>
      <c r="K141">
        <v>3688758054</v>
      </c>
      <c r="L141" t="s">
        <v>131</v>
      </c>
      <c r="M141" t="s">
        <v>50</v>
      </c>
      <c r="N141" t="s">
        <v>111</v>
      </c>
      <c r="O141" t="s">
        <v>100</v>
      </c>
      <c r="P141" t="s">
        <v>53</v>
      </c>
      <c r="Q141">
        <v>280428</v>
      </c>
      <c r="R141" t="s">
        <v>1205</v>
      </c>
      <c r="S141" t="s">
        <v>1206</v>
      </c>
      <c r="T141">
        <v>2453198172</v>
      </c>
      <c r="U141" t="s">
        <v>34</v>
      </c>
      <c r="V141" t="s">
        <v>2476</v>
      </c>
      <c r="W141" s="1">
        <v>43859</v>
      </c>
    </row>
    <row r="142" spans="1:23" x14ac:dyDescent="0.25">
      <c r="A142" t="s">
        <v>1208</v>
      </c>
      <c r="B142" s="1">
        <v>45299</v>
      </c>
      <c r="C142" t="s">
        <v>1209</v>
      </c>
      <c r="D142" t="s">
        <v>989</v>
      </c>
      <c r="E142" t="s">
        <v>24</v>
      </c>
      <c r="F142">
        <v>35.200000000000003</v>
      </c>
      <c r="G142" t="s">
        <v>56</v>
      </c>
      <c r="H142">
        <v>20.8904</v>
      </c>
      <c r="I142">
        <v>-1214521.1599999999</v>
      </c>
      <c r="J142" t="s">
        <v>128</v>
      </c>
      <c r="K142">
        <v>3088364149</v>
      </c>
      <c r="L142" t="s">
        <v>129</v>
      </c>
      <c r="M142" t="s">
        <v>28</v>
      </c>
      <c r="N142" t="s">
        <v>29</v>
      </c>
      <c r="O142" t="s">
        <v>79</v>
      </c>
      <c r="P142" t="s">
        <v>153</v>
      </c>
      <c r="Q142">
        <v>887</v>
      </c>
      <c r="R142" t="s">
        <v>1210</v>
      </c>
      <c r="S142" t="s">
        <v>990</v>
      </c>
      <c r="T142">
        <v>8879380824</v>
      </c>
      <c r="U142" t="s">
        <v>34</v>
      </c>
      <c r="V142" t="s">
        <v>2477</v>
      </c>
      <c r="W142" s="1">
        <v>43831</v>
      </c>
    </row>
    <row r="143" spans="1:23" x14ac:dyDescent="0.25">
      <c r="A143" t="s">
        <v>1211</v>
      </c>
      <c r="B143" s="1">
        <v>45870</v>
      </c>
      <c r="C143" t="s">
        <v>1212</v>
      </c>
      <c r="D143" t="s">
        <v>802</v>
      </c>
      <c r="E143" t="s">
        <v>73</v>
      </c>
      <c r="F143">
        <v>-89.69</v>
      </c>
      <c r="G143" t="s">
        <v>61</v>
      </c>
      <c r="H143">
        <v>81.259900000000002</v>
      </c>
      <c r="I143">
        <v>-279945.03999999998</v>
      </c>
      <c r="J143" t="s">
        <v>62</v>
      </c>
      <c r="K143">
        <v>6290367996</v>
      </c>
      <c r="L143" t="s">
        <v>131</v>
      </c>
      <c r="M143" t="s">
        <v>83</v>
      </c>
      <c r="N143" t="s">
        <v>117</v>
      </c>
      <c r="O143" t="s">
        <v>70</v>
      </c>
      <c r="P143" t="s">
        <v>53</v>
      </c>
      <c r="Q143">
        <v>752335</v>
      </c>
      <c r="R143">
        <v>4703290000000000</v>
      </c>
      <c r="S143" t="s">
        <v>803</v>
      </c>
      <c r="T143">
        <v>-5168887730</v>
      </c>
      <c r="U143" t="s">
        <v>34</v>
      </c>
      <c r="V143" t="s">
        <v>2472</v>
      </c>
      <c r="W143" s="1">
        <v>45758</v>
      </c>
    </row>
    <row r="144" spans="1:23" x14ac:dyDescent="0.25">
      <c r="A144" t="s">
        <v>1213</v>
      </c>
      <c r="B144" s="1">
        <v>45816</v>
      </c>
      <c r="C144" t="s">
        <v>1214</v>
      </c>
      <c r="D144" t="s">
        <v>455</v>
      </c>
      <c r="E144" t="s">
        <v>73</v>
      </c>
      <c r="F144">
        <v>14.03</v>
      </c>
      <c r="G144" t="s">
        <v>61</v>
      </c>
      <c r="H144">
        <v>79.936599999999999</v>
      </c>
      <c r="I144">
        <v>-1435813.85</v>
      </c>
      <c r="J144" t="s">
        <v>98</v>
      </c>
      <c r="K144">
        <v>2086167332</v>
      </c>
      <c r="L144" t="s">
        <v>99</v>
      </c>
      <c r="M144" t="s">
        <v>83</v>
      </c>
      <c r="N144" t="s">
        <v>117</v>
      </c>
      <c r="O144" t="s">
        <v>100</v>
      </c>
      <c r="P144" t="s">
        <v>31</v>
      </c>
      <c r="Q144">
        <v>610478</v>
      </c>
      <c r="R144" t="s">
        <v>1215</v>
      </c>
      <c r="S144" t="s">
        <v>1163</v>
      </c>
      <c r="T144">
        <v>926531950</v>
      </c>
      <c r="U144" t="s">
        <v>34</v>
      </c>
      <c r="V144" t="s">
        <v>2474</v>
      </c>
      <c r="W144" s="1">
        <v>44697</v>
      </c>
    </row>
    <row r="145" spans="1:23" x14ac:dyDescent="0.25">
      <c r="A145" t="s">
        <v>1218</v>
      </c>
      <c r="B145" s="1">
        <v>45697</v>
      </c>
      <c r="C145" t="s">
        <v>1219</v>
      </c>
      <c r="D145" t="s">
        <v>544</v>
      </c>
      <c r="E145" t="s">
        <v>55</v>
      </c>
      <c r="F145">
        <v>103.93</v>
      </c>
      <c r="G145" t="s">
        <v>61</v>
      </c>
      <c r="H145">
        <v>75.616200000000006</v>
      </c>
      <c r="I145">
        <v>-1197716.71</v>
      </c>
      <c r="J145" t="s">
        <v>62</v>
      </c>
      <c r="K145">
        <v>-6327592255</v>
      </c>
      <c r="L145" t="s">
        <v>131</v>
      </c>
      <c r="M145" t="s">
        <v>121</v>
      </c>
      <c r="N145" t="s">
        <v>122</v>
      </c>
      <c r="O145" t="s">
        <v>70</v>
      </c>
      <c r="P145" t="s">
        <v>43</v>
      </c>
      <c r="Q145">
        <v>535330</v>
      </c>
      <c r="R145" t="s">
        <v>1220</v>
      </c>
      <c r="S145" t="s">
        <v>1221</v>
      </c>
      <c r="T145">
        <v>7522467593</v>
      </c>
      <c r="U145" t="s">
        <v>34</v>
      </c>
      <c r="V145" t="s">
        <v>2474</v>
      </c>
      <c r="W145" s="1">
        <v>42339</v>
      </c>
    </row>
    <row r="146" spans="1:23" x14ac:dyDescent="0.25">
      <c r="A146" t="s">
        <v>1223</v>
      </c>
      <c r="B146" s="1">
        <v>45334</v>
      </c>
      <c r="C146" t="s">
        <v>935</v>
      </c>
      <c r="D146" t="s">
        <v>125</v>
      </c>
      <c r="E146" t="s">
        <v>55</v>
      </c>
      <c r="F146">
        <v>92.27</v>
      </c>
      <c r="G146" t="s">
        <v>66</v>
      </c>
      <c r="H146">
        <v>1</v>
      </c>
      <c r="I146">
        <v>-1604972.52</v>
      </c>
      <c r="J146" t="s">
        <v>48</v>
      </c>
      <c r="K146">
        <v>2138778168</v>
      </c>
      <c r="L146" t="s">
        <v>49</v>
      </c>
      <c r="M146" t="s">
        <v>68</v>
      </c>
      <c r="N146" t="s">
        <v>69</v>
      </c>
      <c r="O146" t="s">
        <v>100</v>
      </c>
      <c r="P146" t="s">
        <v>93</v>
      </c>
      <c r="Q146">
        <v>820186</v>
      </c>
      <c r="R146" t="s">
        <v>1224</v>
      </c>
      <c r="S146" t="s">
        <v>127</v>
      </c>
      <c r="T146">
        <v>1959290077</v>
      </c>
      <c r="U146" t="s">
        <v>34</v>
      </c>
      <c r="V146" t="s">
        <v>2475</v>
      </c>
      <c r="W146" s="1">
        <v>43739</v>
      </c>
    </row>
    <row r="147" spans="1:23" x14ac:dyDescent="0.25">
      <c r="A147" t="s">
        <v>1228</v>
      </c>
      <c r="B147" s="1">
        <v>45963</v>
      </c>
      <c r="C147" t="s">
        <v>1225</v>
      </c>
      <c r="D147" t="s">
        <v>133</v>
      </c>
      <c r="E147" t="s">
        <v>24</v>
      </c>
      <c r="F147">
        <v>15.24</v>
      </c>
      <c r="G147" t="s">
        <v>66</v>
      </c>
      <c r="H147">
        <v>1</v>
      </c>
      <c r="I147">
        <v>-260082.64</v>
      </c>
      <c r="J147" t="s">
        <v>81</v>
      </c>
      <c r="K147">
        <v>9111622381</v>
      </c>
      <c r="L147" t="s">
        <v>82</v>
      </c>
      <c r="M147" t="s">
        <v>57</v>
      </c>
      <c r="N147" t="s">
        <v>209</v>
      </c>
      <c r="O147" t="s">
        <v>70</v>
      </c>
      <c r="P147" t="s">
        <v>53</v>
      </c>
      <c r="Q147">
        <v>386601</v>
      </c>
      <c r="R147" t="s">
        <v>1229</v>
      </c>
      <c r="S147" t="s">
        <v>933</v>
      </c>
      <c r="T147">
        <v>-9681303802</v>
      </c>
      <c r="U147" t="s">
        <v>34</v>
      </c>
      <c r="V147" t="s">
        <v>2475</v>
      </c>
      <c r="W147" s="1">
        <v>42561</v>
      </c>
    </row>
    <row r="148" spans="1:23" x14ac:dyDescent="0.25">
      <c r="A148" t="s">
        <v>1232</v>
      </c>
      <c r="B148" s="1">
        <v>45358</v>
      </c>
      <c r="C148" t="s">
        <v>1233</v>
      </c>
      <c r="D148" t="s">
        <v>219</v>
      </c>
      <c r="E148" t="s">
        <v>24</v>
      </c>
      <c r="F148">
        <v>76.27</v>
      </c>
      <c r="G148" t="s">
        <v>61</v>
      </c>
      <c r="H148">
        <v>80.452399999999997</v>
      </c>
      <c r="I148">
        <v>-1714130.55</v>
      </c>
      <c r="J148" t="s">
        <v>67</v>
      </c>
      <c r="K148">
        <v>-1952508275</v>
      </c>
      <c r="L148" t="s">
        <v>178</v>
      </c>
      <c r="M148" t="s">
        <v>68</v>
      </c>
      <c r="N148" t="s">
        <v>69</v>
      </c>
      <c r="O148" t="s">
        <v>42</v>
      </c>
      <c r="P148" t="s">
        <v>153</v>
      </c>
      <c r="Q148">
        <v>789526</v>
      </c>
      <c r="R148" t="s">
        <v>1234</v>
      </c>
      <c r="S148" t="s">
        <v>573</v>
      </c>
      <c r="T148">
        <v>6042351578</v>
      </c>
      <c r="U148" t="s">
        <v>34</v>
      </c>
      <c r="V148" t="s">
        <v>2477</v>
      </c>
      <c r="W148" s="1">
        <v>44051</v>
      </c>
    </row>
    <row r="149" spans="1:23" x14ac:dyDescent="0.25">
      <c r="A149" t="s">
        <v>1236</v>
      </c>
      <c r="B149" s="1">
        <v>45089</v>
      </c>
      <c r="C149" t="s">
        <v>1237</v>
      </c>
      <c r="D149" t="s">
        <v>960</v>
      </c>
      <c r="E149" t="s">
        <v>73</v>
      </c>
      <c r="F149">
        <v>38.5</v>
      </c>
      <c r="G149" t="s">
        <v>61</v>
      </c>
      <c r="H149">
        <v>79.745099999999994</v>
      </c>
      <c r="I149">
        <v>-556645.03</v>
      </c>
      <c r="J149" t="s">
        <v>48</v>
      </c>
      <c r="K149">
        <v>1566846065</v>
      </c>
      <c r="L149" t="s">
        <v>49</v>
      </c>
      <c r="M149" t="s">
        <v>40</v>
      </c>
      <c r="N149" t="s">
        <v>139</v>
      </c>
      <c r="O149" t="s">
        <v>42</v>
      </c>
      <c r="P149" t="s">
        <v>107</v>
      </c>
      <c r="Q149">
        <v>882612</v>
      </c>
      <c r="R149" t="s">
        <v>1238</v>
      </c>
      <c r="S149" t="s">
        <v>1109</v>
      </c>
      <c r="T149">
        <v>1687596817</v>
      </c>
      <c r="U149" t="s">
        <v>34</v>
      </c>
      <c r="V149" t="s">
        <v>2476</v>
      </c>
      <c r="W149" s="1">
        <v>43433</v>
      </c>
    </row>
    <row r="150" spans="1:23" x14ac:dyDescent="0.25">
      <c r="A150" t="s">
        <v>1239</v>
      </c>
      <c r="B150" s="1">
        <v>45058</v>
      </c>
      <c r="C150" t="s">
        <v>1240</v>
      </c>
      <c r="D150" t="s">
        <v>149</v>
      </c>
      <c r="E150" t="s">
        <v>73</v>
      </c>
      <c r="F150">
        <v>5.95</v>
      </c>
      <c r="G150" t="s">
        <v>47</v>
      </c>
      <c r="H150">
        <v>98.577699999999993</v>
      </c>
      <c r="I150">
        <v>-174204.36</v>
      </c>
      <c r="J150" t="s">
        <v>81</v>
      </c>
      <c r="K150">
        <v>6881851871</v>
      </c>
      <c r="L150" t="s">
        <v>82</v>
      </c>
      <c r="M150" t="s">
        <v>83</v>
      </c>
      <c r="N150" t="s">
        <v>117</v>
      </c>
      <c r="O150" t="s">
        <v>52</v>
      </c>
      <c r="P150" t="s">
        <v>126</v>
      </c>
      <c r="Q150">
        <v>831852</v>
      </c>
      <c r="R150" t="s">
        <v>1241</v>
      </c>
      <c r="S150" t="s">
        <v>1242</v>
      </c>
      <c r="T150">
        <v>6023022975</v>
      </c>
      <c r="U150" t="s">
        <v>34</v>
      </c>
      <c r="V150" t="s">
        <v>2474</v>
      </c>
      <c r="W150" s="1">
        <v>2018</v>
      </c>
    </row>
    <row r="151" spans="1:23" x14ac:dyDescent="0.25">
      <c r="A151" t="s">
        <v>1243</v>
      </c>
      <c r="B151" s="1">
        <v>45935</v>
      </c>
      <c r="C151" t="s">
        <v>1244</v>
      </c>
      <c r="D151" t="s">
        <v>807</v>
      </c>
      <c r="E151" t="s">
        <v>55</v>
      </c>
      <c r="F151">
        <v>39.01</v>
      </c>
      <c r="G151" t="s">
        <v>61</v>
      </c>
      <c r="H151">
        <v>81.0381</v>
      </c>
      <c r="I151">
        <v>-2934414.52</v>
      </c>
      <c r="J151" t="s">
        <v>128</v>
      </c>
      <c r="K151">
        <v>-9531260042</v>
      </c>
      <c r="L151" t="s">
        <v>129</v>
      </c>
      <c r="M151" t="s">
        <v>77</v>
      </c>
      <c r="N151" t="s">
        <v>78</v>
      </c>
      <c r="O151" t="s">
        <v>30</v>
      </c>
      <c r="P151" t="s">
        <v>153</v>
      </c>
      <c r="Q151">
        <v>887875</v>
      </c>
      <c r="R151" t="s">
        <v>929</v>
      </c>
      <c r="S151" t="s">
        <v>1245</v>
      </c>
      <c r="T151">
        <v>2010029848</v>
      </c>
      <c r="U151" t="s">
        <v>34</v>
      </c>
      <c r="V151" t="s">
        <v>2473</v>
      </c>
      <c r="W151" s="1">
        <v>43271</v>
      </c>
    </row>
    <row r="152" spans="1:23" x14ac:dyDescent="0.25">
      <c r="A152" t="s">
        <v>1248</v>
      </c>
      <c r="B152" s="1">
        <v>45840</v>
      </c>
      <c r="C152" t="s">
        <v>1249</v>
      </c>
      <c r="D152" t="s">
        <v>239</v>
      </c>
      <c r="E152" t="s">
        <v>55</v>
      </c>
      <c r="F152">
        <v>20.86</v>
      </c>
      <c r="G152" t="s">
        <v>56</v>
      </c>
      <c r="H152">
        <v>20.058299999999999</v>
      </c>
      <c r="I152">
        <v>-143871.70000000001</v>
      </c>
      <c r="J152" t="s">
        <v>26</v>
      </c>
      <c r="K152">
        <v>6847761000</v>
      </c>
      <c r="L152" t="s">
        <v>27</v>
      </c>
      <c r="M152" t="s">
        <v>87</v>
      </c>
      <c r="N152" t="s">
        <v>151</v>
      </c>
      <c r="O152" t="s">
        <v>79</v>
      </c>
      <c r="P152" t="s">
        <v>59</v>
      </c>
      <c r="Q152">
        <v>890303</v>
      </c>
      <c r="R152" t="s">
        <v>1250</v>
      </c>
      <c r="S152" t="s">
        <v>1251</v>
      </c>
      <c r="T152">
        <v>5446686693</v>
      </c>
      <c r="U152" t="s">
        <v>34</v>
      </c>
      <c r="V152" t="s">
        <v>2475</v>
      </c>
      <c r="W152" s="1">
        <v>42217</v>
      </c>
    </row>
    <row r="153" spans="1:23" x14ac:dyDescent="0.25">
      <c r="A153" t="s">
        <v>1252</v>
      </c>
      <c r="B153" s="1">
        <v>45330</v>
      </c>
      <c r="C153" t="s">
        <v>167</v>
      </c>
      <c r="D153" t="s">
        <v>208</v>
      </c>
      <c r="E153" t="s">
        <v>24</v>
      </c>
      <c r="F153">
        <v>33.24</v>
      </c>
      <c r="G153" t="s">
        <v>56</v>
      </c>
      <c r="H153">
        <v>18.367599999999999</v>
      </c>
      <c r="I153">
        <v>-2592449.7400000002</v>
      </c>
      <c r="J153" t="s">
        <v>86</v>
      </c>
      <c r="K153">
        <v>3677174157</v>
      </c>
      <c r="L153" t="s">
        <v>181</v>
      </c>
      <c r="M153" t="s">
        <v>121</v>
      </c>
      <c r="N153" t="s">
        <v>222</v>
      </c>
      <c r="O153" t="s">
        <v>100</v>
      </c>
      <c r="P153" t="s">
        <v>93</v>
      </c>
      <c r="Q153">
        <v>788222</v>
      </c>
      <c r="R153" t="s">
        <v>1253</v>
      </c>
      <c r="S153" t="s">
        <v>363</v>
      </c>
      <c r="T153">
        <v>274626509</v>
      </c>
      <c r="U153" t="s">
        <v>34</v>
      </c>
      <c r="V153" t="s">
        <v>2474</v>
      </c>
      <c r="W153" s="1">
        <v>45126</v>
      </c>
    </row>
    <row r="154" spans="1:23" x14ac:dyDescent="0.25">
      <c r="A154" t="s">
        <v>1255</v>
      </c>
      <c r="B154" s="1">
        <v>45270</v>
      </c>
      <c r="C154" t="s">
        <v>1256</v>
      </c>
      <c r="D154" t="s">
        <v>348</v>
      </c>
      <c r="E154" t="s">
        <v>73</v>
      </c>
      <c r="F154">
        <v>83.61</v>
      </c>
      <c r="G154" t="s">
        <v>61</v>
      </c>
      <c r="H154">
        <v>75.276300000000006</v>
      </c>
      <c r="I154">
        <v>-2466621.7200000002</v>
      </c>
      <c r="J154" t="s">
        <v>98</v>
      </c>
      <c r="K154">
        <v>8846692004</v>
      </c>
      <c r="L154" t="s">
        <v>99</v>
      </c>
      <c r="M154" t="s">
        <v>147</v>
      </c>
      <c r="N154" t="s">
        <v>155</v>
      </c>
      <c r="O154" t="s">
        <v>100</v>
      </c>
      <c r="P154" t="s">
        <v>75</v>
      </c>
      <c r="Q154">
        <v>511403</v>
      </c>
      <c r="R154" t="s">
        <v>1257</v>
      </c>
      <c r="S154" t="s">
        <v>349</v>
      </c>
      <c r="T154">
        <v>-6182601671</v>
      </c>
      <c r="U154" t="s">
        <v>34</v>
      </c>
      <c r="V154" t="s">
        <v>2478</v>
      </c>
      <c r="W154" s="1">
        <v>42754</v>
      </c>
    </row>
    <row r="155" spans="1:23" x14ac:dyDescent="0.25">
      <c r="A155" t="s">
        <v>1262</v>
      </c>
      <c r="B155" s="1">
        <v>45755</v>
      </c>
      <c r="C155" t="s">
        <v>1087</v>
      </c>
      <c r="D155" t="s">
        <v>160</v>
      </c>
      <c r="E155" t="s">
        <v>73</v>
      </c>
      <c r="F155">
        <v>-48.09</v>
      </c>
      <c r="G155" t="s">
        <v>61</v>
      </c>
      <c r="H155">
        <v>75.253299999999996</v>
      </c>
      <c r="I155">
        <v>-188918.06</v>
      </c>
      <c r="J155" t="s">
        <v>74</v>
      </c>
      <c r="K155">
        <v>-2567103896</v>
      </c>
      <c r="L155" t="s">
        <v>105</v>
      </c>
      <c r="M155" t="s">
        <v>83</v>
      </c>
      <c r="N155" t="s">
        <v>84</v>
      </c>
      <c r="O155" t="s">
        <v>52</v>
      </c>
      <c r="P155" t="s">
        <v>59</v>
      </c>
      <c r="Q155">
        <v>145775</v>
      </c>
      <c r="R155" t="s">
        <v>1263</v>
      </c>
      <c r="S155" t="s">
        <v>1035</v>
      </c>
      <c r="T155">
        <v>5541393573</v>
      </c>
      <c r="U155" t="s">
        <v>34</v>
      </c>
      <c r="V155" t="s">
        <v>2477</v>
      </c>
      <c r="W155" s="1">
        <v>42925</v>
      </c>
    </row>
    <row r="156" spans="1:23" x14ac:dyDescent="0.25">
      <c r="A156" t="s">
        <v>1266</v>
      </c>
      <c r="B156" s="1">
        <v>45636</v>
      </c>
      <c r="C156" t="s">
        <v>1267</v>
      </c>
      <c r="D156" t="s">
        <v>831</v>
      </c>
      <c r="E156" t="s">
        <v>55</v>
      </c>
      <c r="F156">
        <v>-30.05</v>
      </c>
      <c r="G156" t="s">
        <v>66</v>
      </c>
      <c r="H156">
        <v>1</v>
      </c>
      <c r="I156">
        <v>-2514173.36</v>
      </c>
      <c r="J156" t="s">
        <v>86</v>
      </c>
      <c r="K156">
        <v>6138575327</v>
      </c>
      <c r="L156" t="s">
        <v>181</v>
      </c>
      <c r="M156" t="s">
        <v>68</v>
      </c>
      <c r="N156" t="s">
        <v>114</v>
      </c>
      <c r="O156" t="s">
        <v>70</v>
      </c>
      <c r="P156" t="s">
        <v>71</v>
      </c>
      <c r="Q156">
        <v>939057</v>
      </c>
      <c r="R156" t="s">
        <v>1268</v>
      </c>
      <c r="S156" t="s">
        <v>832</v>
      </c>
      <c r="T156">
        <v>2845434825</v>
      </c>
      <c r="U156" t="s">
        <v>34</v>
      </c>
      <c r="V156" t="s">
        <v>2475</v>
      </c>
      <c r="W156" s="1">
        <v>43331</v>
      </c>
    </row>
    <row r="157" spans="1:23" x14ac:dyDescent="0.25">
      <c r="A157" t="s">
        <v>1272</v>
      </c>
      <c r="B157" s="1">
        <v>45633</v>
      </c>
      <c r="C157" t="s">
        <v>1273</v>
      </c>
      <c r="D157" t="s">
        <v>634</v>
      </c>
      <c r="E157" t="s">
        <v>24</v>
      </c>
      <c r="F157">
        <v>188.17</v>
      </c>
      <c r="G157" t="s">
        <v>66</v>
      </c>
      <c r="H157">
        <v>1</v>
      </c>
      <c r="I157">
        <v>-2873845.32</v>
      </c>
      <c r="J157" t="s">
        <v>62</v>
      </c>
      <c r="K157">
        <v>9943420534</v>
      </c>
      <c r="L157" t="s">
        <v>131</v>
      </c>
      <c r="M157" t="s">
        <v>50</v>
      </c>
      <c r="N157" t="s">
        <v>111</v>
      </c>
      <c r="O157" t="s">
        <v>70</v>
      </c>
      <c r="P157" t="s">
        <v>43</v>
      </c>
      <c r="Q157">
        <v>748415</v>
      </c>
      <c r="R157" t="s">
        <v>1274</v>
      </c>
      <c r="S157" t="s">
        <v>1003</v>
      </c>
      <c r="T157">
        <v>204310666</v>
      </c>
      <c r="U157" t="s">
        <v>34</v>
      </c>
      <c r="V157" t="s">
        <v>2472</v>
      </c>
      <c r="W157" s="1">
        <v>2017</v>
      </c>
    </row>
    <row r="158" spans="1:23" x14ac:dyDescent="0.25">
      <c r="A158" t="s">
        <v>1275</v>
      </c>
      <c r="B158" s="1">
        <v>45933</v>
      </c>
      <c r="C158" t="s">
        <v>1276</v>
      </c>
      <c r="D158" t="s">
        <v>469</v>
      </c>
      <c r="E158" t="s">
        <v>73</v>
      </c>
      <c r="F158">
        <v>104.53</v>
      </c>
      <c r="G158" t="s">
        <v>61</v>
      </c>
      <c r="H158">
        <v>81.9542</v>
      </c>
      <c r="I158">
        <v>-2681723.0299999998</v>
      </c>
      <c r="J158" t="s">
        <v>81</v>
      </c>
      <c r="K158">
        <v>8234648114</v>
      </c>
      <c r="L158" t="s">
        <v>82</v>
      </c>
      <c r="M158" t="s">
        <v>87</v>
      </c>
      <c r="N158" t="s">
        <v>88</v>
      </c>
      <c r="O158" t="s">
        <v>30</v>
      </c>
      <c r="P158" t="s">
        <v>71</v>
      </c>
      <c r="Q158">
        <v>729290</v>
      </c>
      <c r="R158" t="s">
        <v>1277</v>
      </c>
      <c r="S158" t="s">
        <v>871</v>
      </c>
      <c r="T158">
        <v>9285035915</v>
      </c>
      <c r="U158" t="s">
        <v>34</v>
      </c>
      <c r="V158" t="s">
        <v>2477</v>
      </c>
      <c r="W158" s="1">
        <v>42513</v>
      </c>
    </row>
    <row r="159" spans="1:23" x14ac:dyDescent="0.25">
      <c r="A159" t="s">
        <v>1278</v>
      </c>
      <c r="B159" s="1">
        <v>45602</v>
      </c>
      <c r="C159" t="s">
        <v>1279</v>
      </c>
      <c r="D159" t="s">
        <v>163</v>
      </c>
      <c r="E159" t="s">
        <v>55</v>
      </c>
      <c r="F159">
        <v>210.27</v>
      </c>
      <c r="G159" t="s">
        <v>66</v>
      </c>
      <c r="H159">
        <v>1</v>
      </c>
      <c r="I159">
        <v>-2868846.32</v>
      </c>
      <c r="J159" t="s">
        <v>38</v>
      </c>
      <c r="K159">
        <v>-1374794046</v>
      </c>
      <c r="L159" t="s">
        <v>39</v>
      </c>
      <c r="M159" t="s">
        <v>50</v>
      </c>
      <c r="N159" t="s">
        <v>51</v>
      </c>
      <c r="O159" t="s">
        <v>30</v>
      </c>
      <c r="P159" t="s">
        <v>75</v>
      </c>
      <c r="Q159">
        <v>712068</v>
      </c>
      <c r="R159" t="s">
        <v>1280</v>
      </c>
      <c r="S159" t="s">
        <v>1281</v>
      </c>
      <c r="T159">
        <v>9543843482</v>
      </c>
      <c r="U159" t="s">
        <v>34</v>
      </c>
      <c r="V159" t="s">
        <v>2472</v>
      </c>
      <c r="W159" s="1">
        <v>45083</v>
      </c>
    </row>
    <row r="160" spans="1:23" x14ac:dyDescent="0.25">
      <c r="A160" t="s">
        <v>1284</v>
      </c>
      <c r="B160" s="1">
        <v>45358</v>
      </c>
      <c r="C160" t="s">
        <v>1285</v>
      </c>
      <c r="D160" t="s">
        <v>404</v>
      </c>
      <c r="E160" t="s">
        <v>24</v>
      </c>
      <c r="F160">
        <v>399.54</v>
      </c>
      <c r="G160" t="s">
        <v>47</v>
      </c>
      <c r="H160">
        <v>90.566699999999997</v>
      </c>
      <c r="I160">
        <v>-541202.72</v>
      </c>
      <c r="J160" t="s">
        <v>62</v>
      </c>
      <c r="K160">
        <v>-9880204429</v>
      </c>
      <c r="L160" t="s">
        <v>131</v>
      </c>
      <c r="M160" t="s">
        <v>50</v>
      </c>
      <c r="N160" t="s">
        <v>111</v>
      </c>
      <c r="O160" t="s">
        <v>30</v>
      </c>
      <c r="P160" t="s">
        <v>59</v>
      </c>
      <c r="Q160">
        <v>307476</v>
      </c>
      <c r="R160" t="s">
        <v>1286</v>
      </c>
      <c r="S160" t="s">
        <v>519</v>
      </c>
      <c r="T160">
        <v>3260319717</v>
      </c>
      <c r="U160" t="s">
        <v>34</v>
      </c>
      <c r="V160" t="s">
        <v>2472</v>
      </c>
      <c r="W160" s="1">
        <v>2017</v>
      </c>
    </row>
    <row r="161" spans="1:23" x14ac:dyDescent="0.25">
      <c r="A161" t="s">
        <v>1287</v>
      </c>
      <c r="B161" s="1">
        <v>45932</v>
      </c>
      <c r="C161" t="s">
        <v>1288</v>
      </c>
      <c r="D161" t="s">
        <v>432</v>
      </c>
      <c r="E161" t="s">
        <v>55</v>
      </c>
      <c r="F161">
        <v>-12.63</v>
      </c>
      <c r="G161" t="s">
        <v>66</v>
      </c>
      <c r="H161">
        <v>1</v>
      </c>
      <c r="I161">
        <v>-1000957.28</v>
      </c>
      <c r="J161" t="s">
        <v>96</v>
      </c>
      <c r="K161">
        <v>5274136503</v>
      </c>
      <c r="L161" t="s">
        <v>97</v>
      </c>
      <c r="M161" t="s">
        <v>50</v>
      </c>
      <c r="N161" t="s">
        <v>51</v>
      </c>
      <c r="O161" t="s">
        <v>79</v>
      </c>
      <c r="P161" t="s">
        <v>59</v>
      </c>
      <c r="Q161">
        <v>845023</v>
      </c>
      <c r="R161" t="s">
        <v>1289</v>
      </c>
      <c r="S161" t="s">
        <v>1290</v>
      </c>
      <c r="T161">
        <v>6083229848</v>
      </c>
      <c r="U161" t="s">
        <v>34</v>
      </c>
      <c r="V161" t="s">
        <v>2473</v>
      </c>
      <c r="W161" s="1">
        <v>42743</v>
      </c>
    </row>
    <row r="162" spans="1:23" x14ac:dyDescent="0.25">
      <c r="A162" t="s">
        <v>1292</v>
      </c>
      <c r="B162" s="1">
        <v>45901</v>
      </c>
      <c r="C162" t="s">
        <v>1293</v>
      </c>
      <c r="D162" t="s">
        <v>23</v>
      </c>
      <c r="E162" t="s">
        <v>24</v>
      </c>
      <c r="F162">
        <v>13.16</v>
      </c>
      <c r="G162" t="s">
        <v>56</v>
      </c>
      <c r="H162">
        <v>18.6615</v>
      </c>
      <c r="I162">
        <v>-1198178.1299999999</v>
      </c>
      <c r="J162" t="s">
        <v>74</v>
      </c>
      <c r="K162">
        <v>1607879169</v>
      </c>
      <c r="L162" t="s">
        <v>105</v>
      </c>
      <c r="M162" t="s">
        <v>77</v>
      </c>
      <c r="N162" t="s">
        <v>307</v>
      </c>
      <c r="O162" t="s">
        <v>79</v>
      </c>
      <c r="P162" t="s">
        <v>75</v>
      </c>
      <c r="Q162">
        <v>499050</v>
      </c>
      <c r="R162" t="s">
        <v>1294</v>
      </c>
      <c r="S162" t="s">
        <v>1295</v>
      </c>
      <c r="T162">
        <v>3226007796</v>
      </c>
      <c r="U162" t="s">
        <v>34</v>
      </c>
      <c r="V162" t="s">
        <v>2477</v>
      </c>
      <c r="W162" s="1">
        <v>45055</v>
      </c>
    </row>
    <row r="163" spans="1:23" x14ac:dyDescent="0.25">
      <c r="A163" t="s">
        <v>1300</v>
      </c>
      <c r="B163" s="1">
        <v>45633</v>
      </c>
      <c r="C163" t="s">
        <v>1301</v>
      </c>
      <c r="D163" t="s">
        <v>930</v>
      </c>
      <c r="E163" t="s">
        <v>24</v>
      </c>
      <c r="F163">
        <v>133.58000000000001</v>
      </c>
      <c r="G163" t="s">
        <v>56</v>
      </c>
      <c r="H163">
        <v>19.943300000000001</v>
      </c>
      <c r="I163">
        <v>-2774172.2</v>
      </c>
      <c r="J163" t="s">
        <v>81</v>
      </c>
      <c r="K163">
        <v>3630283264</v>
      </c>
      <c r="L163" t="s">
        <v>82</v>
      </c>
      <c r="M163" t="s">
        <v>147</v>
      </c>
      <c r="N163" t="s">
        <v>155</v>
      </c>
      <c r="O163" t="s">
        <v>70</v>
      </c>
      <c r="P163" t="s">
        <v>31</v>
      </c>
      <c r="Q163">
        <v>514751</v>
      </c>
      <c r="R163" t="s">
        <v>1125</v>
      </c>
      <c r="S163" t="s">
        <v>1302</v>
      </c>
      <c r="T163">
        <v>2700728677</v>
      </c>
      <c r="U163" t="s">
        <v>34</v>
      </c>
      <c r="V163" t="s">
        <v>2474</v>
      </c>
      <c r="W163" s="1">
        <v>2024</v>
      </c>
    </row>
    <row r="164" spans="1:23" x14ac:dyDescent="0.25">
      <c r="A164" t="s">
        <v>1303</v>
      </c>
      <c r="B164" s="1">
        <v>45636</v>
      </c>
      <c r="C164" t="s">
        <v>474</v>
      </c>
      <c r="D164" t="s">
        <v>329</v>
      </c>
      <c r="E164" t="s">
        <v>73</v>
      </c>
      <c r="F164">
        <v>109.46</v>
      </c>
      <c r="G164" t="s">
        <v>25</v>
      </c>
      <c r="H164">
        <v>72.361099999999993</v>
      </c>
      <c r="I164">
        <v>-553947.62</v>
      </c>
      <c r="J164" t="s">
        <v>98</v>
      </c>
      <c r="K164">
        <v>5506671727</v>
      </c>
      <c r="L164" t="s">
        <v>99</v>
      </c>
      <c r="M164" t="s">
        <v>50</v>
      </c>
      <c r="N164" t="s">
        <v>111</v>
      </c>
      <c r="O164" t="s">
        <v>100</v>
      </c>
      <c r="P164" t="s">
        <v>93</v>
      </c>
      <c r="Q164">
        <v>178</v>
      </c>
      <c r="R164" t="s">
        <v>389</v>
      </c>
      <c r="S164" t="s">
        <v>330</v>
      </c>
      <c r="T164">
        <v>2652306543</v>
      </c>
      <c r="U164" t="s">
        <v>34</v>
      </c>
      <c r="V164" t="s">
        <v>2475</v>
      </c>
      <c r="W164" s="1">
        <v>2023</v>
      </c>
    </row>
    <row r="165" spans="1:23" x14ac:dyDescent="0.25">
      <c r="A165" t="s">
        <v>1309</v>
      </c>
      <c r="B165" s="1">
        <v>45602</v>
      </c>
      <c r="C165" t="s">
        <v>1310</v>
      </c>
      <c r="D165" t="s">
        <v>557</v>
      </c>
      <c r="E165" t="s">
        <v>24</v>
      </c>
      <c r="F165">
        <v>11.14</v>
      </c>
      <c r="G165" t="s">
        <v>66</v>
      </c>
      <c r="H165">
        <v>1</v>
      </c>
      <c r="I165">
        <v>-276122.94</v>
      </c>
      <c r="J165" t="s">
        <v>98</v>
      </c>
      <c r="K165">
        <v>8863745580</v>
      </c>
      <c r="L165" t="s">
        <v>99</v>
      </c>
      <c r="M165" t="s">
        <v>57</v>
      </c>
      <c r="N165" t="s">
        <v>209</v>
      </c>
      <c r="O165" t="s">
        <v>79</v>
      </c>
      <c r="P165" t="s">
        <v>43</v>
      </c>
      <c r="Q165">
        <v>647095</v>
      </c>
      <c r="R165" t="s">
        <v>1311</v>
      </c>
      <c r="S165" t="s">
        <v>809</v>
      </c>
      <c r="T165">
        <v>-194562042</v>
      </c>
      <c r="U165" t="s">
        <v>34</v>
      </c>
      <c r="V165" t="s">
        <v>2476</v>
      </c>
      <c r="W165" s="1">
        <v>45078</v>
      </c>
    </row>
    <row r="166" spans="1:23" x14ac:dyDescent="0.25">
      <c r="A166" t="s">
        <v>1312</v>
      </c>
      <c r="B166" s="1">
        <v>45272</v>
      </c>
      <c r="C166" t="s">
        <v>1313</v>
      </c>
      <c r="D166" t="s">
        <v>217</v>
      </c>
      <c r="E166" t="s">
        <v>73</v>
      </c>
      <c r="F166">
        <v>42.99</v>
      </c>
      <c r="G166" t="s">
        <v>56</v>
      </c>
      <c r="H166">
        <v>18.625299999999999</v>
      </c>
      <c r="I166">
        <v>-555283.23</v>
      </c>
      <c r="J166" t="s">
        <v>116</v>
      </c>
      <c r="K166">
        <v>4135679644</v>
      </c>
      <c r="L166" t="s">
        <v>134</v>
      </c>
      <c r="M166" t="s">
        <v>50</v>
      </c>
      <c r="N166" t="s">
        <v>111</v>
      </c>
      <c r="O166" t="s">
        <v>79</v>
      </c>
      <c r="P166" t="s">
        <v>59</v>
      </c>
      <c r="Q166">
        <v>452943</v>
      </c>
      <c r="R166" t="s">
        <v>1226</v>
      </c>
      <c r="S166" t="s">
        <v>218</v>
      </c>
      <c r="T166">
        <v>8143200303</v>
      </c>
      <c r="U166" t="s">
        <v>34</v>
      </c>
      <c r="V166" t="s">
        <v>2474</v>
      </c>
      <c r="W166" s="1">
        <v>42191</v>
      </c>
    </row>
    <row r="167" spans="1:23" x14ac:dyDescent="0.25">
      <c r="A167" t="s">
        <v>1316</v>
      </c>
      <c r="B167" s="1">
        <v>45148</v>
      </c>
      <c r="C167" t="s">
        <v>983</v>
      </c>
      <c r="D167" t="s">
        <v>76</v>
      </c>
      <c r="E167" t="s">
        <v>73</v>
      </c>
      <c r="F167">
        <v>120.35</v>
      </c>
      <c r="G167" t="s">
        <v>56</v>
      </c>
      <c r="H167">
        <v>18.611000000000001</v>
      </c>
      <c r="I167">
        <v>-2249722.75</v>
      </c>
      <c r="J167" t="s">
        <v>102</v>
      </c>
      <c r="K167">
        <v>-4277662954</v>
      </c>
      <c r="L167" t="s">
        <v>150</v>
      </c>
      <c r="M167" t="s">
        <v>57</v>
      </c>
      <c r="N167" t="s">
        <v>58</v>
      </c>
      <c r="O167" t="s">
        <v>70</v>
      </c>
      <c r="P167" t="s">
        <v>93</v>
      </c>
      <c r="Q167">
        <v>286788</v>
      </c>
      <c r="R167" t="s">
        <v>1317</v>
      </c>
      <c r="S167" t="s">
        <v>1168</v>
      </c>
      <c r="T167">
        <v>-8376127751</v>
      </c>
      <c r="U167" t="s">
        <v>34</v>
      </c>
      <c r="V167" t="s">
        <v>2474</v>
      </c>
      <c r="W167" s="1">
        <v>43944</v>
      </c>
    </row>
    <row r="168" spans="1:23" x14ac:dyDescent="0.25">
      <c r="A168" t="s">
        <v>1319</v>
      </c>
      <c r="B168" s="1">
        <v>45597</v>
      </c>
      <c r="C168" t="s">
        <v>616</v>
      </c>
      <c r="D168" t="s">
        <v>829</v>
      </c>
      <c r="E168" t="s">
        <v>24</v>
      </c>
      <c r="F168">
        <v>3.41</v>
      </c>
      <c r="G168" t="s">
        <v>56</v>
      </c>
      <c r="H168">
        <v>19.361499999999999</v>
      </c>
      <c r="I168">
        <v>-1198059.81</v>
      </c>
      <c r="J168" t="s">
        <v>86</v>
      </c>
      <c r="K168">
        <v>8412840981</v>
      </c>
      <c r="L168" t="s">
        <v>181</v>
      </c>
      <c r="M168" t="s">
        <v>28</v>
      </c>
      <c r="N168" t="s">
        <v>119</v>
      </c>
      <c r="O168" t="s">
        <v>70</v>
      </c>
      <c r="P168" t="s">
        <v>93</v>
      </c>
      <c r="Q168">
        <v>808623</v>
      </c>
      <c r="R168" t="s">
        <v>1320</v>
      </c>
      <c r="S168" t="s">
        <v>839</v>
      </c>
      <c r="T168">
        <v>6583587694</v>
      </c>
      <c r="U168" t="s">
        <v>34</v>
      </c>
      <c r="V168" t="s">
        <v>2475</v>
      </c>
      <c r="W168" s="1">
        <v>42729</v>
      </c>
    </row>
    <row r="169" spans="1:23" x14ac:dyDescent="0.25">
      <c r="A169" t="s">
        <v>1325</v>
      </c>
      <c r="B169" s="1">
        <v>45324</v>
      </c>
      <c r="C169" t="s">
        <v>1326</v>
      </c>
      <c r="D169" t="s">
        <v>265</v>
      </c>
      <c r="E169" t="s">
        <v>55</v>
      </c>
      <c r="F169">
        <v>48.8</v>
      </c>
      <c r="G169" t="s">
        <v>47</v>
      </c>
      <c r="H169">
        <v>106.0535</v>
      </c>
      <c r="I169">
        <v>-2462582.61</v>
      </c>
      <c r="J169" t="s">
        <v>48</v>
      </c>
      <c r="K169">
        <v>2753786541</v>
      </c>
      <c r="L169" t="s">
        <v>49</v>
      </c>
      <c r="M169" t="s">
        <v>121</v>
      </c>
      <c r="N169" t="s">
        <v>213</v>
      </c>
      <c r="O169" t="s">
        <v>79</v>
      </c>
      <c r="P169" t="s">
        <v>153</v>
      </c>
      <c r="Q169">
        <v>765571</v>
      </c>
      <c r="R169" t="s">
        <v>168</v>
      </c>
      <c r="S169" t="s">
        <v>362</v>
      </c>
      <c r="T169">
        <v>2771205271</v>
      </c>
      <c r="U169" t="s">
        <v>34</v>
      </c>
      <c r="V169" t="s">
        <v>2475</v>
      </c>
      <c r="W169" s="1">
        <v>2025</v>
      </c>
    </row>
    <row r="170" spans="1:23" x14ac:dyDescent="0.25">
      <c r="A170" t="s">
        <v>1331</v>
      </c>
      <c r="B170" s="1">
        <v>45352</v>
      </c>
      <c r="C170" t="s">
        <v>1332</v>
      </c>
      <c r="D170" t="s">
        <v>775</v>
      </c>
      <c r="E170" t="s">
        <v>73</v>
      </c>
      <c r="F170">
        <v>27.65</v>
      </c>
      <c r="G170" t="s">
        <v>66</v>
      </c>
      <c r="H170">
        <v>1</v>
      </c>
      <c r="I170">
        <v>-2117901.0299999998</v>
      </c>
      <c r="J170" t="s">
        <v>81</v>
      </c>
      <c r="K170">
        <v>4137734805</v>
      </c>
      <c r="L170" t="s">
        <v>82</v>
      </c>
      <c r="M170" t="s">
        <v>28</v>
      </c>
      <c r="N170" t="s">
        <v>119</v>
      </c>
      <c r="O170" t="s">
        <v>70</v>
      </c>
      <c r="P170" t="s">
        <v>75</v>
      </c>
      <c r="Q170">
        <v>551134</v>
      </c>
      <c r="R170" t="s">
        <v>1333</v>
      </c>
      <c r="S170" t="s">
        <v>1334</v>
      </c>
      <c r="T170">
        <v>1365240920</v>
      </c>
      <c r="U170" t="s">
        <v>34</v>
      </c>
      <c r="V170" t="s">
        <v>2476</v>
      </c>
      <c r="W170" s="1">
        <v>2015</v>
      </c>
    </row>
    <row r="171" spans="1:23" x14ac:dyDescent="0.25">
      <c r="A171" t="s">
        <v>1336</v>
      </c>
      <c r="B171" s="1">
        <v>45302</v>
      </c>
      <c r="C171" t="s">
        <v>1337</v>
      </c>
      <c r="D171" t="s">
        <v>989</v>
      </c>
      <c r="E171" t="s">
        <v>24</v>
      </c>
      <c r="F171">
        <v>5.51</v>
      </c>
      <c r="G171" t="s">
        <v>47</v>
      </c>
      <c r="H171">
        <v>103.7726</v>
      </c>
      <c r="I171">
        <v>-2900639.64</v>
      </c>
      <c r="J171" t="s">
        <v>98</v>
      </c>
      <c r="K171">
        <v>227479439</v>
      </c>
      <c r="L171" t="s">
        <v>99</v>
      </c>
      <c r="M171" t="s">
        <v>57</v>
      </c>
      <c r="N171" t="s">
        <v>209</v>
      </c>
      <c r="O171" t="s">
        <v>30</v>
      </c>
      <c r="P171" t="s">
        <v>126</v>
      </c>
      <c r="Q171">
        <v>865739</v>
      </c>
      <c r="R171" t="s">
        <v>1338</v>
      </c>
      <c r="S171" t="s">
        <v>1071</v>
      </c>
      <c r="T171">
        <v>8971696213</v>
      </c>
      <c r="U171" t="s">
        <v>34</v>
      </c>
      <c r="V171" t="s">
        <v>2475</v>
      </c>
      <c r="W171" s="1">
        <v>44136</v>
      </c>
    </row>
    <row r="172" spans="1:23" x14ac:dyDescent="0.25">
      <c r="A172" t="s">
        <v>1339</v>
      </c>
      <c r="B172" s="1">
        <v>45878</v>
      </c>
      <c r="C172" t="s">
        <v>1340</v>
      </c>
      <c r="D172" t="s">
        <v>509</v>
      </c>
      <c r="E172" t="s">
        <v>24</v>
      </c>
      <c r="F172">
        <v>8.5399999999999991</v>
      </c>
      <c r="G172" t="s">
        <v>56</v>
      </c>
      <c r="H172">
        <v>19.812999999999999</v>
      </c>
      <c r="I172">
        <v>-276509.09999999998</v>
      </c>
      <c r="J172" t="s">
        <v>128</v>
      </c>
      <c r="K172">
        <v>-3814031288</v>
      </c>
      <c r="L172" t="s">
        <v>129</v>
      </c>
      <c r="M172" t="s">
        <v>50</v>
      </c>
      <c r="N172" t="s">
        <v>51</v>
      </c>
      <c r="O172" t="s">
        <v>30</v>
      </c>
      <c r="P172" t="s">
        <v>53</v>
      </c>
      <c r="Q172">
        <v>838845</v>
      </c>
      <c r="R172" t="s">
        <v>1341</v>
      </c>
      <c r="S172" t="s">
        <v>561</v>
      </c>
      <c r="T172">
        <v>3997043859</v>
      </c>
      <c r="U172" t="s">
        <v>34</v>
      </c>
      <c r="V172" t="s">
        <v>2477</v>
      </c>
      <c r="W172" s="1">
        <v>44287</v>
      </c>
    </row>
    <row r="173" spans="1:23" x14ac:dyDescent="0.25">
      <c r="A173" t="s">
        <v>1343</v>
      </c>
      <c r="B173" s="1">
        <v>45547</v>
      </c>
      <c r="C173" t="s">
        <v>1344</v>
      </c>
      <c r="D173" t="s">
        <v>676</v>
      </c>
      <c r="E173" t="s">
        <v>24</v>
      </c>
      <c r="F173">
        <v>27.39</v>
      </c>
      <c r="G173" t="s">
        <v>56</v>
      </c>
      <c r="H173">
        <v>20.801200000000001</v>
      </c>
      <c r="I173">
        <v>-2579651.3199999998</v>
      </c>
      <c r="J173" t="s">
        <v>91</v>
      </c>
      <c r="K173">
        <v>3530600410</v>
      </c>
      <c r="L173" t="s">
        <v>92</v>
      </c>
      <c r="M173" t="s">
        <v>57</v>
      </c>
      <c r="N173" t="s">
        <v>209</v>
      </c>
      <c r="O173" t="s">
        <v>42</v>
      </c>
      <c r="P173" t="s">
        <v>71</v>
      </c>
      <c r="Q173">
        <v>246291</v>
      </c>
      <c r="R173" t="s">
        <v>1345</v>
      </c>
      <c r="S173" t="s">
        <v>1346</v>
      </c>
      <c r="T173">
        <v>8314767823</v>
      </c>
      <c r="U173" t="s">
        <v>34</v>
      </c>
      <c r="V173" t="s">
        <v>2476</v>
      </c>
      <c r="W173" s="1">
        <v>44896</v>
      </c>
    </row>
    <row r="174" spans="1:23" x14ac:dyDescent="0.25">
      <c r="A174" t="s">
        <v>1350</v>
      </c>
      <c r="B174" s="1">
        <v>45575</v>
      </c>
      <c r="C174" t="s">
        <v>819</v>
      </c>
      <c r="D174" t="s">
        <v>239</v>
      </c>
      <c r="E174" t="s">
        <v>73</v>
      </c>
      <c r="F174">
        <v>30.74</v>
      </c>
      <c r="G174" t="s">
        <v>61</v>
      </c>
      <c r="H174">
        <v>81.291799999999995</v>
      </c>
      <c r="I174">
        <v>-1625494.85</v>
      </c>
      <c r="J174" t="s">
        <v>38</v>
      </c>
      <c r="K174">
        <v>9931431480</v>
      </c>
      <c r="L174" t="s">
        <v>39</v>
      </c>
      <c r="M174" t="s">
        <v>83</v>
      </c>
      <c r="N174" t="s">
        <v>117</v>
      </c>
      <c r="O174" t="s">
        <v>30</v>
      </c>
      <c r="P174" t="s">
        <v>107</v>
      </c>
      <c r="Q174">
        <v>832614</v>
      </c>
      <c r="R174" t="s">
        <v>1351</v>
      </c>
      <c r="S174" t="s">
        <v>718</v>
      </c>
      <c r="T174">
        <v>2170477581</v>
      </c>
      <c r="U174" t="s">
        <v>34</v>
      </c>
      <c r="V174" t="s">
        <v>2473</v>
      </c>
      <c r="W174" s="1">
        <v>44197</v>
      </c>
    </row>
    <row r="175" spans="1:23" x14ac:dyDescent="0.25">
      <c r="A175" t="s">
        <v>1353</v>
      </c>
      <c r="B175" s="1">
        <v>45629</v>
      </c>
      <c r="C175" t="s">
        <v>1133</v>
      </c>
      <c r="D175" t="s">
        <v>146</v>
      </c>
      <c r="E175" t="s">
        <v>73</v>
      </c>
      <c r="F175">
        <v>208.54</v>
      </c>
      <c r="G175" t="s">
        <v>47</v>
      </c>
      <c r="H175">
        <v>94.453000000000003</v>
      </c>
      <c r="I175">
        <v>-1221637.55</v>
      </c>
      <c r="J175" t="s">
        <v>62</v>
      </c>
      <c r="K175">
        <v>4689164046</v>
      </c>
      <c r="L175" t="s">
        <v>131</v>
      </c>
      <c r="M175" t="s">
        <v>28</v>
      </c>
      <c r="N175" t="s">
        <v>29</v>
      </c>
      <c r="O175" t="s">
        <v>70</v>
      </c>
      <c r="P175" t="s">
        <v>43</v>
      </c>
      <c r="Q175">
        <v>391175</v>
      </c>
      <c r="R175" t="s">
        <v>1354</v>
      </c>
      <c r="S175" t="s">
        <v>799</v>
      </c>
      <c r="T175">
        <v>5413308507</v>
      </c>
      <c r="U175" t="s">
        <v>34</v>
      </c>
      <c r="V175" t="s">
        <v>2477</v>
      </c>
      <c r="W175" s="1">
        <v>42897</v>
      </c>
    </row>
    <row r="176" spans="1:23" x14ac:dyDescent="0.25">
      <c r="A176" t="s">
        <v>1356</v>
      </c>
      <c r="B176" s="1">
        <v>45603</v>
      </c>
      <c r="C176" t="s">
        <v>1328</v>
      </c>
      <c r="D176" t="s">
        <v>208</v>
      </c>
      <c r="E176" t="s">
        <v>24</v>
      </c>
      <c r="F176">
        <v>87.68</v>
      </c>
      <c r="G176" t="s">
        <v>56</v>
      </c>
      <c r="H176">
        <v>19.2166</v>
      </c>
      <c r="I176">
        <v>-1412232.82</v>
      </c>
      <c r="J176" t="s">
        <v>116</v>
      </c>
      <c r="K176">
        <v>-5855134248</v>
      </c>
      <c r="L176" t="s">
        <v>134</v>
      </c>
      <c r="M176" t="s">
        <v>57</v>
      </c>
      <c r="N176" t="s">
        <v>209</v>
      </c>
      <c r="O176" t="s">
        <v>70</v>
      </c>
      <c r="P176" t="s">
        <v>93</v>
      </c>
      <c r="Q176">
        <v>582386</v>
      </c>
      <c r="R176" t="s">
        <v>1357</v>
      </c>
      <c r="S176" t="s">
        <v>363</v>
      </c>
      <c r="T176">
        <v>-6110024619</v>
      </c>
      <c r="U176" t="s">
        <v>34</v>
      </c>
      <c r="V176" t="s">
        <v>2472</v>
      </c>
      <c r="W176" s="1">
        <v>45444</v>
      </c>
    </row>
    <row r="177" spans="1:23" x14ac:dyDescent="0.25">
      <c r="A177" t="s">
        <v>1359</v>
      </c>
      <c r="B177" s="1">
        <v>45363</v>
      </c>
      <c r="C177" t="s">
        <v>1360</v>
      </c>
      <c r="D177" t="s">
        <v>455</v>
      </c>
      <c r="E177" t="s">
        <v>73</v>
      </c>
      <c r="F177">
        <v>10.02</v>
      </c>
      <c r="G177" t="s">
        <v>66</v>
      </c>
      <c r="H177">
        <v>1</v>
      </c>
      <c r="I177">
        <v>-1557923.97</v>
      </c>
      <c r="J177" t="s">
        <v>74</v>
      </c>
      <c r="K177">
        <v>5823851638</v>
      </c>
      <c r="L177" t="s">
        <v>105</v>
      </c>
      <c r="M177" t="s">
        <v>40</v>
      </c>
      <c r="N177" t="s">
        <v>41</v>
      </c>
      <c r="O177" t="s">
        <v>79</v>
      </c>
      <c r="P177" t="s">
        <v>153</v>
      </c>
      <c r="Q177">
        <v>667921</v>
      </c>
      <c r="R177" t="s">
        <v>1361</v>
      </c>
      <c r="S177" t="s">
        <v>1362</v>
      </c>
      <c r="T177">
        <v>6143989178</v>
      </c>
      <c r="U177" t="s">
        <v>34</v>
      </c>
      <c r="V177" t="s">
        <v>2476</v>
      </c>
      <c r="W177" s="1">
        <v>43728</v>
      </c>
    </row>
    <row r="178" spans="1:23" x14ac:dyDescent="0.25">
      <c r="A178" t="s">
        <v>1363</v>
      </c>
      <c r="B178" s="1">
        <v>45785</v>
      </c>
      <c r="C178" t="s">
        <v>1364</v>
      </c>
      <c r="D178" t="s">
        <v>753</v>
      </c>
      <c r="E178" t="s">
        <v>73</v>
      </c>
      <c r="F178">
        <v>59.73</v>
      </c>
      <c r="G178" t="s">
        <v>66</v>
      </c>
      <c r="H178">
        <v>1</v>
      </c>
      <c r="I178">
        <v>-2237152.1</v>
      </c>
      <c r="J178" t="s">
        <v>86</v>
      </c>
      <c r="K178">
        <v>-9174888148</v>
      </c>
      <c r="L178" t="s">
        <v>181</v>
      </c>
      <c r="M178" t="s">
        <v>121</v>
      </c>
      <c r="N178" t="s">
        <v>222</v>
      </c>
      <c r="O178" t="s">
        <v>52</v>
      </c>
      <c r="P178" t="s">
        <v>43</v>
      </c>
      <c r="Q178">
        <v>212738</v>
      </c>
      <c r="R178" t="s">
        <v>1365</v>
      </c>
      <c r="S178" t="s">
        <v>805</v>
      </c>
      <c r="T178">
        <v>-2351244760</v>
      </c>
      <c r="U178" t="s">
        <v>34</v>
      </c>
      <c r="V178" t="s">
        <v>2472</v>
      </c>
      <c r="W178" s="1">
        <v>43806</v>
      </c>
    </row>
    <row r="179" spans="1:23" x14ac:dyDescent="0.25">
      <c r="A179" t="s">
        <v>1369</v>
      </c>
      <c r="B179" s="1">
        <v>45877</v>
      </c>
      <c r="C179" t="s">
        <v>1370</v>
      </c>
      <c r="D179" t="s">
        <v>1371</v>
      </c>
      <c r="E179" t="s">
        <v>73</v>
      </c>
      <c r="F179">
        <v>14.73</v>
      </c>
      <c r="G179" t="s">
        <v>66</v>
      </c>
      <c r="H179">
        <v>1</v>
      </c>
      <c r="I179">
        <v>-1198026.3400000001</v>
      </c>
      <c r="J179" t="s">
        <v>96</v>
      </c>
      <c r="K179">
        <v>1023428551</v>
      </c>
      <c r="L179" t="s">
        <v>97</v>
      </c>
      <c r="M179" t="s">
        <v>68</v>
      </c>
      <c r="N179" t="s">
        <v>114</v>
      </c>
      <c r="O179" t="s">
        <v>100</v>
      </c>
      <c r="P179" t="s">
        <v>153</v>
      </c>
      <c r="Q179">
        <v>200147</v>
      </c>
      <c r="R179" t="s">
        <v>1372</v>
      </c>
      <c r="S179" t="s">
        <v>1373</v>
      </c>
      <c r="T179">
        <v>5702078655</v>
      </c>
      <c r="U179" t="s">
        <v>34</v>
      </c>
      <c r="V179" t="s">
        <v>2478</v>
      </c>
      <c r="W179" s="1">
        <v>2025</v>
      </c>
    </row>
    <row r="180" spans="1:23" x14ac:dyDescent="0.25">
      <c r="A180" t="s">
        <v>1374</v>
      </c>
      <c r="B180" s="1">
        <v>45872</v>
      </c>
      <c r="C180" t="s">
        <v>1375</v>
      </c>
      <c r="D180" t="s">
        <v>495</v>
      </c>
      <c r="E180" t="s">
        <v>73</v>
      </c>
      <c r="F180">
        <v>72.44</v>
      </c>
      <c r="G180" t="s">
        <v>61</v>
      </c>
      <c r="H180">
        <v>75.136499999999998</v>
      </c>
      <c r="I180">
        <v>-2467947.66</v>
      </c>
      <c r="J180" t="s">
        <v>102</v>
      </c>
      <c r="K180">
        <v>4295677840</v>
      </c>
      <c r="L180" t="s">
        <v>150</v>
      </c>
      <c r="M180" t="s">
        <v>68</v>
      </c>
      <c r="N180" t="s">
        <v>69</v>
      </c>
      <c r="O180" t="s">
        <v>30</v>
      </c>
      <c r="P180" t="s">
        <v>75</v>
      </c>
      <c r="Q180">
        <v>753094</v>
      </c>
      <c r="R180" t="s">
        <v>1376</v>
      </c>
      <c r="S180" t="s">
        <v>608</v>
      </c>
      <c r="T180">
        <v>-4882689392</v>
      </c>
      <c r="U180" t="s">
        <v>34</v>
      </c>
      <c r="V180" t="s">
        <v>2474</v>
      </c>
      <c r="W180" s="1">
        <v>2017</v>
      </c>
    </row>
    <row r="181" spans="1:23" x14ac:dyDescent="0.25">
      <c r="A181" t="s">
        <v>1378</v>
      </c>
      <c r="B181" s="1">
        <v>45607</v>
      </c>
      <c r="C181" t="s">
        <v>673</v>
      </c>
      <c r="D181" t="s">
        <v>176</v>
      </c>
      <c r="E181" t="s">
        <v>24</v>
      </c>
      <c r="F181">
        <v>428.22</v>
      </c>
      <c r="G181" t="s">
        <v>61</v>
      </c>
      <c r="H181">
        <v>75.467399999999998</v>
      </c>
      <c r="I181">
        <v>-174816.11</v>
      </c>
      <c r="J181" t="s">
        <v>128</v>
      </c>
      <c r="K181">
        <v>3427223556</v>
      </c>
      <c r="L181" t="s">
        <v>129</v>
      </c>
      <c r="M181" t="s">
        <v>68</v>
      </c>
      <c r="N181" t="s">
        <v>277</v>
      </c>
      <c r="O181" t="s">
        <v>42</v>
      </c>
      <c r="P181" t="s">
        <v>153</v>
      </c>
      <c r="Q181">
        <v>629166</v>
      </c>
      <c r="R181" t="s">
        <v>1379</v>
      </c>
      <c r="S181" t="s">
        <v>607</v>
      </c>
      <c r="T181">
        <v>5614282768</v>
      </c>
      <c r="U181" t="s">
        <v>34</v>
      </c>
      <c r="V181" t="s">
        <v>2475</v>
      </c>
      <c r="W181" s="1">
        <v>42767</v>
      </c>
    </row>
    <row r="182" spans="1:23" x14ac:dyDescent="0.25">
      <c r="A182" t="s">
        <v>1380</v>
      </c>
      <c r="B182" s="1">
        <v>45666</v>
      </c>
      <c r="C182" t="s">
        <v>1381</v>
      </c>
      <c r="D182" t="s">
        <v>490</v>
      </c>
      <c r="E182" t="s">
        <v>73</v>
      </c>
      <c r="F182">
        <v>-39.4</v>
      </c>
      <c r="G182" t="s">
        <v>66</v>
      </c>
      <c r="H182">
        <v>1</v>
      </c>
      <c r="I182">
        <v>-1603330.49</v>
      </c>
      <c r="J182" t="s">
        <v>128</v>
      </c>
      <c r="K182">
        <v>8242191899</v>
      </c>
      <c r="L182" t="s">
        <v>129</v>
      </c>
      <c r="M182" t="s">
        <v>147</v>
      </c>
      <c r="N182" t="s">
        <v>155</v>
      </c>
      <c r="O182" t="s">
        <v>70</v>
      </c>
      <c r="P182" t="s">
        <v>126</v>
      </c>
      <c r="Q182">
        <v>800068</v>
      </c>
      <c r="R182" t="s">
        <v>1382</v>
      </c>
      <c r="S182" t="s">
        <v>1383</v>
      </c>
      <c r="T182">
        <v>-3610823313</v>
      </c>
      <c r="U182" t="s">
        <v>34</v>
      </c>
      <c r="V182" t="s">
        <v>2474</v>
      </c>
      <c r="W182" s="1">
        <v>43663</v>
      </c>
    </row>
    <row r="183" spans="1:23" x14ac:dyDescent="0.25">
      <c r="A183" t="s">
        <v>1385</v>
      </c>
      <c r="B183" s="1">
        <v>45242</v>
      </c>
      <c r="C183" t="s">
        <v>1386</v>
      </c>
      <c r="D183" t="s">
        <v>245</v>
      </c>
      <c r="E183" t="s">
        <v>24</v>
      </c>
      <c r="F183">
        <v>6.34</v>
      </c>
      <c r="G183" t="s">
        <v>61</v>
      </c>
      <c r="H183">
        <v>80.276399999999995</v>
      </c>
      <c r="I183">
        <v>-1557400.96</v>
      </c>
      <c r="J183" t="s">
        <v>96</v>
      </c>
      <c r="K183">
        <v>9805285776</v>
      </c>
      <c r="L183" t="s">
        <v>97</v>
      </c>
      <c r="M183" t="s">
        <v>28</v>
      </c>
      <c r="N183" t="s">
        <v>119</v>
      </c>
      <c r="O183" t="s">
        <v>70</v>
      </c>
      <c r="P183" t="s">
        <v>107</v>
      </c>
      <c r="Q183">
        <v>511184</v>
      </c>
      <c r="R183" t="s">
        <v>1387</v>
      </c>
      <c r="S183" t="s">
        <v>507</v>
      </c>
      <c r="T183">
        <v>8769262968</v>
      </c>
      <c r="U183" t="s">
        <v>34</v>
      </c>
      <c r="V183" t="s">
        <v>2477</v>
      </c>
      <c r="W183" s="1">
        <v>44663</v>
      </c>
    </row>
    <row r="184" spans="1:23" x14ac:dyDescent="0.25">
      <c r="A184" t="s">
        <v>1388</v>
      </c>
      <c r="B184" s="1">
        <v>45421</v>
      </c>
      <c r="C184" t="s">
        <v>1389</v>
      </c>
      <c r="D184" t="s">
        <v>125</v>
      </c>
      <c r="E184" t="s">
        <v>73</v>
      </c>
      <c r="F184">
        <v>75.459999999999994</v>
      </c>
      <c r="G184" t="s">
        <v>66</v>
      </c>
      <c r="H184">
        <v>1</v>
      </c>
      <c r="I184">
        <v>-2466201.48</v>
      </c>
      <c r="J184" t="s">
        <v>81</v>
      </c>
      <c r="K184">
        <v>3099949601</v>
      </c>
      <c r="L184" t="s">
        <v>82</v>
      </c>
      <c r="M184" t="s">
        <v>68</v>
      </c>
      <c r="N184" t="s">
        <v>69</v>
      </c>
      <c r="O184" t="s">
        <v>70</v>
      </c>
      <c r="P184" t="s">
        <v>71</v>
      </c>
      <c r="Q184">
        <v>645997</v>
      </c>
      <c r="R184" t="s">
        <v>450</v>
      </c>
      <c r="S184" t="s">
        <v>273</v>
      </c>
      <c r="T184">
        <v>-33964691</v>
      </c>
      <c r="U184" t="s">
        <v>34</v>
      </c>
      <c r="V184" t="s">
        <v>2474</v>
      </c>
      <c r="W184" s="1">
        <v>43162</v>
      </c>
    </row>
    <row r="185" spans="1:23" x14ac:dyDescent="0.25">
      <c r="A185" t="s">
        <v>1390</v>
      </c>
      <c r="B185" s="1">
        <v>45570</v>
      </c>
      <c r="C185" t="s">
        <v>816</v>
      </c>
      <c r="D185" t="s">
        <v>1391</v>
      </c>
      <c r="E185" t="s">
        <v>73</v>
      </c>
      <c r="F185">
        <v>56.77</v>
      </c>
      <c r="G185" t="s">
        <v>66</v>
      </c>
      <c r="H185">
        <v>1</v>
      </c>
      <c r="I185">
        <v>-1652117.94</v>
      </c>
      <c r="J185" t="s">
        <v>26</v>
      </c>
      <c r="K185">
        <v>5746356902</v>
      </c>
      <c r="L185" t="s">
        <v>27</v>
      </c>
      <c r="M185" t="s">
        <v>83</v>
      </c>
      <c r="N185" t="s">
        <v>84</v>
      </c>
      <c r="O185" t="s">
        <v>70</v>
      </c>
      <c r="P185" t="s">
        <v>43</v>
      </c>
      <c r="Q185">
        <v>898189</v>
      </c>
      <c r="R185" t="s">
        <v>1392</v>
      </c>
      <c r="S185" t="s">
        <v>1393</v>
      </c>
      <c r="T185">
        <v>215306626</v>
      </c>
      <c r="U185" t="s">
        <v>34</v>
      </c>
      <c r="V185" t="s">
        <v>2478</v>
      </c>
      <c r="W185" s="1">
        <v>2022</v>
      </c>
    </row>
    <row r="186" spans="1:23" x14ac:dyDescent="0.25">
      <c r="A186" t="s">
        <v>1394</v>
      </c>
      <c r="B186" s="1">
        <v>45871</v>
      </c>
      <c r="C186" t="s">
        <v>1355</v>
      </c>
      <c r="D186" t="s">
        <v>516</v>
      </c>
      <c r="E186" t="s">
        <v>55</v>
      </c>
      <c r="F186">
        <v>49.08</v>
      </c>
      <c r="G186" t="s">
        <v>61</v>
      </c>
      <c r="H186">
        <v>72.860699999999994</v>
      </c>
      <c r="I186">
        <v>-1557822.04</v>
      </c>
      <c r="J186" t="s">
        <v>86</v>
      </c>
      <c r="K186">
        <v>7203446344</v>
      </c>
      <c r="L186" t="s">
        <v>181</v>
      </c>
      <c r="M186" t="s">
        <v>28</v>
      </c>
      <c r="N186" t="s">
        <v>29</v>
      </c>
      <c r="O186" t="s">
        <v>100</v>
      </c>
      <c r="P186" t="s">
        <v>75</v>
      </c>
      <c r="Q186">
        <v>937074</v>
      </c>
      <c r="R186" t="s">
        <v>1395</v>
      </c>
      <c r="S186" t="s">
        <v>1396</v>
      </c>
      <c r="T186">
        <v>5142208073</v>
      </c>
      <c r="U186" t="s">
        <v>34</v>
      </c>
      <c r="V186" t="s">
        <v>2474</v>
      </c>
      <c r="W186" s="1">
        <v>45571</v>
      </c>
    </row>
    <row r="187" spans="1:23" x14ac:dyDescent="0.25">
      <c r="A187" t="s">
        <v>1398</v>
      </c>
      <c r="B187" s="1">
        <v>45908</v>
      </c>
      <c r="C187" t="s">
        <v>1399</v>
      </c>
      <c r="D187" t="s">
        <v>143</v>
      </c>
      <c r="E187" t="s">
        <v>24</v>
      </c>
      <c r="F187">
        <v>-8.94</v>
      </c>
      <c r="G187" t="s">
        <v>61</v>
      </c>
      <c r="H187">
        <v>82.376900000000006</v>
      </c>
      <c r="I187">
        <v>-1150839.47</v>
      </c>
      <c r="J187" t="s">
        <v>67</v>
      </c>
      <c r="K187">
        <v>6989450197</v>
      </c>
      <c r="L187" t="s">
        <v>178</v>
      </c>
      <c r="M187" t="s">
        <v>28</v>
      </c>
      <c r="N187" t="s">
        <v>29</v>
      </c>
      <c r="O187" t="s">
        <v>52</v>
      </c>
      <c r="P187" t="s">
        <v>75</v>
      </c>
      <c r="Q187">
        <v>426484</v>
      </c>
      <c r="R187" t="s">
        <v>1400</v>
      </c>
      <c r="S187" t="s">
        <v>1401</v>
      </c>
      <c r="T187">
        <v>4012168133</v>
      </c>
      <c r="U187" t="s">
        <v>34</v>
      </c>
      <c r="V187" t="s">
        <v>2474</v>
      </c>
      <c r="W187" s="1">
        <v>42583</v>
      </c>
    </row>
    <row r="188" spans="1:23" x14ac:dyDescent="0.25">
      <c r="A188" t="s">
        <v>1403</v>
      </c>
      <c r="B188" s="1">
        <v>45357</v>
      </c>
      <c r="C188" t="s">
        <v>513</v>
      </c>
      <c r="D188" t="s">
        <v>693</v>
      </c>
      <c r="E188" t="s">
        <v>24</v>
      </c>
      <c r="F188">
        <v>11.85</v>
      </c>
      <c r="G188" t="s">
        <v>61</v>
      </c>
      <c r="H188">
        <v>80.374799999999993</v>
      </c>
      <c r="I188">
        <v>-2866502.37</v>
      </c>
      <c r="J188" t="s">
        <v>38</v>
      </c>
      <c r="K188">
        <v>-893459696</v>
      </c>
      <c r="L188" t="s">
        <v>39</v>
      </c>
      <c r="M188" t="s">
        <v>40</v>
      </c>
      <c r="N188" t="s">
        <v>41</v>
      </c>
      <c r="O188" t="s">
        <v>100</v>
      </c>
      <c r="P188" t="s">
        <v>93</v>
      </c>
      <c r="Q188">
        <v>324059</v>
      </c>
      <c r="R188" t="s">
        <v>1404</v>
      </c>
      <c r="S188" t="s">
        <v>694</v>
      </c>
      <c r="T188">
        <v>2468705808</v>
      </c>
      <c r="U188" t="s">
        <v>34</v>
      </c>
      <c r="V188" t="s">
        <v>2474</v>
      </c>
      <c r="W188" s="1">
        <v>44363</v>
      </c>
    </row>
    <row r="189" spans="1:23" x14ac:dyDescent="0.25">
      <c r="A189" t="s">
        <v>1406</v>
      </c>
      <c r="B189" s="1">
        <v>45270</v>
      </c>
      <c r="C189" t="s">
        <v>1407</v>
      </c>
      <c r="D189" t="s">
        <v>331</v>
      </c>
      <c r="E189" t="s">
        <v>73</v>
      </c>
      <c r="F189">
        <v>21.02</v>
      </c>
      <c r="G189" t="s">
        <v>56</v>
      </c>
      <c r="H189">
        <v>18.5611</v>
      </c>
      <c r="I189">
        <v>-2872746.79</v>
      </c>
      <c r="J189" t="s">
        <v>38</v>
      </c>
      <c r="K189">
        <v>2380510864</v>
      </c>
      <c r="L189" t="s">
        <v>39</v>
      </c>
      <c r="M189" t="s">
        <v>83</v>
      </c>
      <c r="N189" t="s">
        <v>84</v>
      </c>
      <c r="O189" t="s">
        <v>100</v>
      </c>
      <c r="P189" t="s">
        <v>43</v>
      </c>
      <c r="Q189">
        <v>266718</v>
      </c>
      <c r="R189" t="s">
        <v>1408</v>
      </c>
      <c r="S189" t="s">
        <v>1409</v>
      </c>
      <c r="T189">
        <v>5209613380</v>
      </c>
      <c r="U189" t="s">
        <v>34</v>
      </c>
      <c r="V189" t="s">
        <v>2478</v>
      </c>
      <c r="W189" s="1">
        <v>2020</v>
      </c>
    </row>
    <row r="190" spans="1:23" x14ac:dyDescent="0.25">
      <c r="A190" t="s">
        <v>1412</v>
      </c>
      <c r="B190" s="1">
        <v>45478</v>
      </c>
      <c r="C190" t="s">
        <v>856</v>
      </c>
      <c r="D190" t="s">
        <v>414</v>
      </c>
      <c r="E190" t="s">
        <v>73</v>
      </c>
      <c r="F190">
        <v>77.02</v>
      </c>
      <c r="G190" t="s">
        <v>56</v>
      </c>
      <c r="H190">
        <v>21.412099999999999</v>
      </c>
      <c r="I190">
        <v>-2308498.38</v>
      </c>
      <c r="J190" t="s">
        <v>91</v>
      </c>
      <c r="K190">
        <v>2565008201</v>
      </c>
      <c r="L190" t="s">
        <v>92</v>
      </c>
      <c r="M190" t="s">
        <v>147</v>
      </c>
      <c r="N190" t="s">
        <v>155</v>
      </c>
      <c r="O190" t="s">
        <v>100</v>
      </c>
      <c r="P190" t="s">
        <v>107</v>
      </c>
      <c r="Q190">
        <v>766503</v>
      </c>
      <c r="R190" t="s">
        <v>1413</v>
      </c>
      <c r="S190" t="s">
        <v>1414</v>
      </c>
      <c r="T190">
        <v>3816255685</v>
      </c>
      <c r="U190" t="s">
        <v>34</v>
      </c>
      <c r="V190" t="s">
        <v>2477</v>
      </c>
      <c r="W190" s="1">
        <v>44867</v>
      </c>
    </row>
    <row r="191" spans="1:23" x14ac:dyDescent="0.25">
      <c r="A191" t="s">
        <v>1415</v>
      </c>
      <c r="B191" s="1">
        <v>45481</v>
      </c>
      <c r="C191" t="s">
        <v>1416</v>
      </c>
      <c r="D191" t="s">
        <v>258</v>
      </c>
      <c r="E191" t="s">
        <v>73</v>
      </c>
      <c r="F191">
        <v>169.49</v>
      </c>
      <c r="G191" t="s">
        <v>47</v>
      </c>
      <c r="H191">
        <v>102.6007</v>
      </c>
      <c r="I191">
        <v>-1198409.1000000001</v>
      </c>
      <c r="J191" t="s">
        <v>67</v>
      </c>
      <c r="K191">
        <v>5475922913</v>
      </c>
      <c r="L191" t="s">
        <v>178</v>
      </c>
      <c r="M191" t="s">
        <v>50</v>
      </c>
      <c r="N191" t="s">
        <v>51</v>
      </c>
      <c r="O191" t="s">
        <v>30</v>
      </c>
      <c r="P191" t="s">
        <v>107</v>
      </c>
      <c r="Q191">
        <v>556873</v>
      </c>
      <c r="R191" t="s">
        <v>1417</v>
      </c>
      <c r="S191" t="s">
        <v>1418</v>
      </c>
      <c r="T191">
        <v>1876355142</v>
      </c>
      <c r="U191" t="s">
        <v>34</v>
      </c>
      <c r="V191" t="s">
        <v>2474</v>
      </c>
      <c r="W191" s="1">
        <v>2015</v>
      </c>
    </row>
    <row r="192" spans="1:23" x14ac:dyDescent="0.25">
      <c r="A192" t="s">
        <v>1419</v>
      </c>
      <c r="B192" s="1">
        <v>45389</v>
      </c>
      <c r="C192" t="s">
        <v>1420</v>
      </c>
      <c r="D192" t="s">
        <v>90</v>
      </c>
      <c r="E192" t="s">
        <v>73</v>
      </c>
      <c r="F192">
        <v>29.12</v>
      </c>
      <c r="G192" t="s">
        <v>61</v>
      </c>
      <c r="H192">
        <v>81.336299999999994</v>
      </c>
      <c r="I192">
        <v>-2418919.35</v>
      </c>
      <c r="J192" t="s">
        <v>62</v>
      </c>
      <c r="K192">
        <v>9860054177</v>
      </c>
      <c r="L192" t="s">
        <v>131</v>
      </c>
      <c r="M192" t="s">
        <v>50</v>
      </c>
      <c r="N192" t="s">
        <v>51</v>
      </c>
      <c r="O192" t="s">
        <v>100</v>
      </c>
      <c r="P192" t="s">
        <v>43</v>
      </c>
      <c r="Q192">
        <v>387992</v>
      </c>
      <c r="R192" t="s">
        <v>1421</v>
      </c>
      <c r="S192" t="s">
        <v>974</v>
      </c>
      <c r="T192">
        <v>7754847906</v>
      </c>
      <c r="U192" t="s">
        <v>34</v>
      </c>
      <c r="V192" t="s">
        <v>2474</v>
      </c>
      <c r="W192" s="1">
        <v>43922</v>
      </c>
    </row>
    <row r="193" spans="1:23" x14ac:dyDescent="0.25">
      <c r="A193" t="s">
        <v>1424</v>
      </c>
      <c r="B193" s="1">
        <v>45661</v>
      </c>
      <c r="C193" t="s">
        <v>1425</v>
      </c>
      <c r="D193" t="s">
        <v>336</v>
      </c>
      <c r="E193" t="s">
        <v>24</v>
      </c>
      <c r="F193">
        <v>247.95</v>
      </c>
      <c r="G193" t="s">
        <v>61</v>
      </c>
      <c r="H193">
        <v>75.244200000000006</v>
      </c>
      <c r="I193">
        <v>-594933.56000000006</v>
      </c>
      <c r="J193" t="s">
        <v>128</v>
      </c>
      <c r="K193">
        <v>6590161133</v>
      </c>
      <c r="L193" t="s">
        <v>129</v>
      </c>
      <c r="M193" t="s">
        <v>147</v>
      </c>
      <c r="N193" t="s">
        <v>148</v>
      </c>
      <c r="O193" t="s">
        <v>100</v>
      </c>
      <c r="P193" t="s">
        <v>31</v>
      </c>
      <c r="Q193">
        <v>844201</v>
      </c>
      <c r="R193" t="s">
        <v>1426</v>
      </c>
      <c r="S193" t="s">
        <v>1427</v>
      </c>
      <c r="T193">
        <v>2211740983</v>
      </c>
      <c r="U193" t="s">
        <v>34</v>
      </c>
      <c r="V193" t="s">
        <v>2477</v>
      </c>
      <c r="W193" s="1">
        <v>2025</v>
      </c>
    </row>
    <row r="194" spans="1:23" x14ac:dyDescent="0.25">
      <c r="A194" t="s">
        <v>1430</v>
      </c>
      <c r="B194" s="1">
        <v>45751</v>
      </c>
      <c r="C194" t="s">
        <v>1431</v>
      </c>
      <c r="D194" t="s">
        <v>90</v>
      </c>
      <c r="E194" t="s">
        <v>24</v>
      </c>
      <c r="F194">
        <v>114.23</v>
      </c>
      <c r="G194" t="s">
        <v>66</v>
      </c>
      <c r="H194">
        <v>1</v>
      </c>
      <c r="I194">
        <v>-457425.28</v>
      </c>
      <c r="J194" t="s">
        <v>81</v>
      </c>
      <c r="K194">
        <v>-2322364363</v>
      </c>
      <c r="L194" t="s">
        <v>82</v>
      </c>
      <c r="M194" t="s">
        <v>50</v>
      </c>
      <c r="N194" t="s">
        <v>111</v>
      </c>
      <c r="O194" t="s">
        <v>79</v>
      </c>
      <c r="P194" t="s">
        <v>107</v>
      </c>
      <c r="Q194">
        <v>891929</v>
      </c>
      <c r="R194" t="s">
        <v>1432</v>
      </c>
      <c r="S194" t="s">
        <v>94</v>
      </c>
      <c r="T194">
        <v>2342978175</v>
      </c>
      <c r="U194" t="s">
        <v>34</v>
      </c>
      <c r="V194" t="s">
        <v>2473</v>
      </c>
      <c r="W194" s="1">
        <v>2018</v>
      </c>
    </row>
    <row r="195" spans="1:23" x14ac:dyDescent="0.25">
      <c r="A195" t="s">
        <v>1434</v>
      </c>
      <c r="B195" s="1">
        <v>45994</v>
      </c>
      <c r="C195" t="s">
        <v>858</v>
      </c>
      <c r="D195" t="s">
        <v>379</v>
      </c>
      <c r="E195" t="s">
        <v>73</v>
      </c>
      <c r="F195">
        <v>49.91</v>
      </c>
      <c r="G195" t="s">
        <v>25</v>
      </c>
      <c r="H195">
        <v>76.415899999999993</v>
      </c>
      <c r="I195">
        <v>-2783817.61</v>
      </c>
      <c r="J195" t="s">
        <v>91</v>
      </c>
      <c r="K195">
        <v>-8327455300</v>
      </c>
      <c r="L195" t="s">
        <v>92</v>
      </c>
      <c r="M195" t="s">
        <v>83</v>
      </c>
      <c r="N195" t="s">
        <v>117</v>
      </c>
      <c r="O195" t="s">
        <v>52</v>
      </c>
      <c r="P195" t="s">
        <v>93</v>
      </c>
      <c r="Q195">
        <v>928708</v>
      </c>
      <c r="R195" t="s">
        <v>1072</v>
      </c>
      <c r="S195" t="s">
        <v>1435</v>
      </c>
      <c r="T195">
        <v>4268854419</v>
      </c>
      <c r="U195" t="s">
        <v>34</v>
      </c>
      <c r="V195" t="s">
        <v>2474</v>
      </c>
      <c r="W195" s="1">
        <v>43228</v>
      </c>
    </row>
    <row r="196" spans="1:23" x14ac:dyDescent="0.25">
      <c r="A196" t="s">
        <v>1436</v>
      </c>
      <c r="B196" s="1">
        <v>45513</v>
      </c>
      <c r="C196" t="s">
        <v>1437</v>
      </c>
      <c r="D196" t="s">
        <v>677</v>
      </c>
      <c r="E196" t="s">
        <v>73</v>
      </c>
      <c r="F196">
        <v>6.26</v>
      </c>
      <c r="G196" t="s">
        <v>66</v>
      </c>
      <c r="H196">
        <v>1</v>
      </c>
      <c r="I196">
        <v>-2463995.69</v>
      </c>
      <c r="J196" t="s">
        <v>48</v>
      </c>
      <c r="K196">
        <v>4978007543</v>
      </c>
      <c r="L196" t="s">
        <v>49</v>
      </c>
      <c r="M196" t="s">
        <v>68</v>
      </c>
      <c r="N196" t="s">
        <v>114</v>
      </c>
      <c r="O196" t="s">
        <v>100</v>
      </c>
      <c r="P196" t="s">
        <v>59</v>
      </c>
      <c r="Q196">
        <v>731681</v>
      </c>
      <c r="R196" t="s">
        <v>1438</v>
      </c>
      <c r="S196" t="s">
        <v>1439</v>
      </c>
      <c r="T196">
        <v>-5826963313</v>
      </c>
      <c r="U196" t="s">
        <v>34</v>
      </c>
      <c r="V196" t="s">
        <v>2473</v>
      </c>
      <c r="W196" s="1">
        <v>44105</v>
      </c>
    </row>
    <row r="197" spans="1:23" x14ac:dyDescent="0.25">
      <c r="A197" t="s">
        <v>1441</v>
      </c>
      <c r="B197" s="1">
        <v>45324</v>
      </c>
      <c r="C197" t="s">
        <v>1442</v>
      </c>
      <c r="D197" t="s">
        <v>479</v>
      </c>
      <c r="E197" t="s">
        <v>24</v>
      </c>
      <c r="F197">
        <v>17.920000000000002</v>
      </c>
      <c r="G197" t="s">
        <v>66</v>
      </c>
      <c r="H197">
        <v>1</v>
      </c>
      <c r="I197">
        <v>-2624723.17</v>
      </c>
      <c r="J197" t="s">
        <v>86</v>
      </c>
      <c r="K197">
        <v>2694730379</v>
      </c>
      <c r="L197" t="s">
        <v>181</v>
      </c>
      <c r="M197" t="s">
        <v>57</v>
      </c>
      <c r="N197" t="s">
        <v>209</v>
      </c>
      <c r="O197" t="s">
        <v>42</v>
      </c>
      <c r="P197" t="s">
        <v>126</v>
      </c>
      <c r="Q197">
        <v>283899</v>
      </c>
      <c r="R197" t="s">
        <v>1443</v>
      </c>
      <c r="S197" t="s">
        <v>1444</v>
      </c>
      <c r="T197">
        <v>8249107299</v>
      </c>
      <c r="U197" t="s">
        <v>34</v>
      </c>
      <c r="V197" t="s">
        <v>2475</v>
      </c>
      <c r="W197" s="1">
        <v>2025</v>
      </c>
    </row>
    <row r="198" spans="1:23" x14ac:dyDescent="0.25">
      <c r="A198" t="s">
        <v>1451</v>
      </c>
      <c r="B198" s="1">
        <v>45751</v>
      </c>
      <c r="C198" t="s">
        <v>1452</v>
      </c>
      <c r="D198" t="s">
        <v>336</v>
      </c>
      <c r="E198" t="s">
        <v>24</v>
      </c>
      <c r="F198">
        <v>13.25</v>
      </c>
      <c r="G198" t="s">
        <v>47</v>
      </c>
      <c r="H198">
        <v>100.2405</v>
      </c>
      <c r="I198">
        <v>-1483052.85</v>
      </c>
      <c r="J198" t="s">
        <v>116</v>
      </c>
      <c r="K198">
        <v>6214490747</v>
      </c>
      <c r="L198" t="s">
        <v>134</v>
      </c>
      <c r="M198" t="s">
        <v>57</v>
      </c>
      <c r="N198" t="s">
        <v>63</v>
      </c>
      <c r="O198" t="s">
        <v>79</v>
      </c>
      <c r="P198" t="s">
        <v>53</v>
      </c>
      <c r="Q198">
        <v>302382</v>
      </c>
      <c r="R198" t="s">
        <v>1453</v>
      </c>
      <c r="S198" t="s">
        <v>1427</v>
      </c>
      <c r="T198">
        <v>-2298391025</v>
      </c>
      <c r="U198" t="s">
        <v>34</v>
      </c>
      <c r="V198" t="s">
        <v>2474</v>
      </c>
      <c r="W198" s="1">
        <v>2016</v>
      </c>
    </row>
    <row r="199" spans="1:23" x14ac:dyDescent="0.25">
      <c r="A199" t="s">
        <v>1455</v>
      </c>
      <c r="B199" s="1">
        <v>45299</v>
      </c>
      <c r="C199" t="s">
        <v>1456</v>
      </c>
      <c r="D199" t="s">
        <v>514</v>
      </c>
      <c r="E199" t="s">
        <v>73</v>
      </c>
      <c r="F199">
        <v>9.0399999999999991</v>
      </c>
      <c r="G199" t="s">
        <v>61</v>
      </c>
      <c r="H199">
        <v>81.831500000000005</v>
      </c>
      <c r="I199">
        <v>-260087.16</v>
      </c>
      <c r="J199" t="s">
        <v>128</v>
      </c>
      <c r="K199">
        <v>3050807353</v>
      </c>
      <c r="L199" t="s">
        <v>129</v>
      </c>
      <c r="M199" t="s">
        <v>83</v>
      </c>
      <c r="N199" t="s">
        <v>117</v>
      </c>
      <c r="O199" t="s">
        <v>100</v>
      </c>
      <c r="P199" t="s">
        <v>59</v>
      </c>
      <c r="Q199">
        <v>992159</v>
      </c>
      <c r="R199" t="s">
        <v>1457</v>
      </c>
      <c r="S199" t="s">
        <v>1296</v>
      </c>
      <c r="T199">
        <v>6831282047</v>
      </c>
      <c r="U199" t="s">
        <v>385</v>
      </c>
      <c r="V199" t="s">
        <v>2478</v>
      </c>
      <c r="W199" s="1">
        <v>43770</v>
      </c>
    </row>
    <row r="200" spans="1:23" x14ac:dyDescent="0.25">
      <c r="A200" t="s">
        <v>1459</v>
      </c>
      <c r="B200" s="1">
        <v>45936</v>
      </c>
      <c r="C200" t="s">
        <v>680</v>
      </c>
      <c r="D200" t="s">
        <v>326</v>
      </c>
      <c r="E200" t="s">
        <v>24</v>
      </c>
      <c r="F200">
        <v>36.65</v>
      </c>
      <c r="G200" t="s">
        <v>47</v>
      </c>
      <c r="H200">
        <v>102.2929</v>
      </c>
      <c r="I200">
        <v>-2653336.3199999998</v>
      </c>
      <c r="J200" t="s">
        <v>102</v>
      </c>
      <c r="K200">
        <v>5615943609</v>
      </c>
      <c r="L200" t="s">
        <v>150</v>
      </c>
      <c r="M200" t="s">
        <v>68</v>
      </c>
      <c r="N200" t="s">
        <v>114</v>
      </c>
      <c r="O200" t="s">
        <v>52</v>
      </c>
      <c r="P200" t="s">
        <v>126</v>
      </c>
      <c r="Q200">
        <v>295457</v>
      </c>
      <c r="R200" t="s">
        <v>1460</v>
      </c>
      <c r="S200" t="s">
        <v>1077</v>
      </c>
      <c r="T200">
        <v>2748766503</v>
      </c>
      <c r="U200" t="s">
        <v>34</v>
      </c>
      <c r="V200" t="s">
        <v>2477</v>
      </c>
      <c r="W200" s="1">
        <v>44806</v>
      </c>
    </row>
    <row r="201" spans="1:23" x14ac:dyDescent="0.25">
      <c r="A201" t="s">
        <v>1462</v>
      </c>
      <c r="B201" s="1">
        <v>45505</v>
      </c>
      <c r="C201" t="s">
        <v>1463</v>
      </c>
      <c r="D201" t="s">
        <v>421</v>
      </c>
      <c r="E201" t="s">
        <v>24</v>
      </c>
      <c r="F201">
        <v>11.85</v>
      </c>
      <c r="G201" t="s">
        <v>782</v>
      </c>
      <c r="H201">
        <v>106.027</v>
      </c>
      <c r="I201">
        <v>-279950.96999999997</v>
      </c>
      <c r="J201" t="s">
        <v>48</v>
      </c>
      <c r="K201">
        <v>6489225169</v>
      </c>
      <c r="L201" t="s">
        <v>49</v>
      </c>
      <c r="M201" t="s">
        <v>50</v>
      </c>
      <c r="N201" t="s">
        <v>111</v>
      </c>
      <c r="O201" t="s">
        <v>30</v>
      </c>
      <c r="P201" t="s">
        <v>71</v>
      </c>
      <c r="Q201">
        <v>560229</v>
      </c>
      <c r="R201" t="s">
        <v>1464</v>
      </c>
      <c r="S201" t="s">
        <v>422</v>
      </c>
      <c r="T201">
        <v>6970463795</v>
      </c>
      <c r="U201" t="s">
        <v>34</v>
      </c>
      <c r="V201" t="s">
        <v>2474</v>
      </c>
      <c r="W201" s="1">
        <v>44623</v>
      </c>
    </row>
    <row r="202" spans="1:23" x14ac:dyDescent="0.25">
      <c r="A202" t="s">
        <v>1467</v>
      </c>
      <c r="B202" s="1">
        <v>45936</v>
      </c>
      <c r="C202" t="s">
        <v>1468</v>
      </c>
      <c r="D202" t="s">
        <v>445</v>
      </c>
      <c r="E202" t="s">
        <v>24</v>
      </c>
      <c r="F202">
        <v>44.27</v>
      </c>
      <c r="G202" t="s">
        <v>61</v>
      </c>
      <c r="H202">
        <v>80.188599999999994</v>
      </c>
      <c r="I202">
        <v>9557.92</v>
      </c>
      <c r="J202" t="s">
        <v>102</v>
      </c>
      <c r="K202">
        <v>-4620708933</v>
      </c>
      <c r="L202" t="s">
        <v>150</v>
      </c>
      <c r="M202" t="s">
        <v>50</v>
      </c>
      <c r="N202" t="s">
        <v>111</v>
      </c>
      <c r="O202" t="s">
        <v>100</v>
      </c>
      <c r="P202" t="s">
        <v>107</v>
      </c>
      <c r="Q202">
        <v>807118</v>
      </c>
      <c r="R202" t="s">
        <v>1469</v>
      </c>
      <c r="S202" t="s">
        <v>884</v>
      </c>
      <c r="T202">
        <v>4947028155</v>
      </c>
      <c r="U202" t="s">
        <v>34</v>
      </c>
      <c r="V202" t="s">
        <v>2474</v>
      </c>
      <c r="W202" s="1">
        <v>2018</v>
      </c>
    </row>
    <row r="203" spans="1:23" x14ac:dyDescent="0.25">
      <c r="A203" t="s">
        <v>1470</v>
      </c>
      <c r="B203" s="1">
        <v>45752</v>
      </c>
      <c r="C203" t="s">
        <v>1471</v>
      </c>
      <c r="D203" t="s">
        <v>466</v>
      </c>
      <c r="E203" t="s">
        <v>73</v>
      </c>
      <c r="F203">
        <v>51.26</v>
      </c>
      <c r="G203" t="s">
        <v>25</v>
      </c>
      <c r="H203">
        <v>77.539299999999997</v>
      </c>
      <c r="I203">
        <v>-1935945.25</v>
      </c>
      <c r="J203" t="s">
        <v>26</v>
      </c>
      <c r="K203">
        <v>1154023156</v>
      </c>
      <c r="L203" t="s">
        <v>27</v>
      </c>
      <c r="M203" t="s">
        <v>68</v>
      </c>
      <c r="N203" t="s">
        <v>69</v>
      </c>
      <c r="O203" t="s">
        <v>70</v>
      </c>
      <c r="P203" t="s">
        <v>53</v>
      </c>
      <c r="Q203">
        <v>548424</v>
      </c>
      <c r="R203" t="s">
        <v>1472</v>
      </c>
      <c r="S203" t="s">
        <v>1473</v>
      </c>
      <c r="T203">
        <v>2114497705</v>
      </c>
      <c r="U203" t="s">
        <v>34</v>
      </c>
      <c r="V203" t="s">
        <v>2477</v>
      </c>
      <c r="W203" s="1">
        <v>2018</v>
      </c>
    </row>
    <row r="204" spans="1:23" x14ac:dyDescent="0.25">
      <c r="A204" t="s">
        <v>1474</v>
      </c>
      <c r="B204" s="1">
        <v>45690</v>
      </c>
      <c r="C204" t="s">
        <v>314</v>
      </c>
      <c r="D204" t="s">
        <v>154</v>
      </c>
      <c r="E204" t="s">
        <v>73</v>
      </c>
      <c r="F204">
        <v>123.56</v>
      </c>
      <c r="G204" t="s">
        <v>2506</v>
      </c>
      <c r="H204">
        <v>1</v>
      </c>
      <c r="I204">
        <v>-2237590.88</v>
      </c>
      <c r="J204" t="s">
        <v>26</v>
      </c>
      <c r="K204">
        <v>6876254073</v>
      </c>
      <c r="L204" t="s">
        <v>27</v>
      </c>
      <c r="M204" t="s">
        <v>68</v>
      </c>
      <c r="N204" t="s">
        <v>277</v>
      </c>
      <c r="O204" t="s">
        <v>79</v>
      </c>
      <c r="P204" t="s">
        <v>107</v>
      </c>
      <c r="Q204">
        <v>457011</v>
      </c>
      <c r="R204" t="s">
        <v>1475</v>
      </c>
      <c r="S204" t="s">
        <v>1476</v>
      </c>
      <c r="T204">
        <v>111617033</v>
      </c>
      <c r="U204" t="s">
        <v>34</v>
      </c>
      <c r="V204" t="s">
        <v>2478</v>
      </c>
      <c r="W204" s="1">
        <v>42736</v>
      </c>
    </row>
    <row r="205" spans="1:23" x14ac:dyDescent="0.25">
      <c r="A205" t="s">
        <v>1477</v>
      </c>
      <c r="B205" s="1">
        <v>45240</v>
      </c>
      <c r="C205" t="s">
        <v>1478</v>
      </c>
      <c r="D205" t="s">
        <v>195</v>
      </c>
      <c r="E205" t="s">
        <v>73</v>
      </c>
      <c r="F205">
        <v>18.02</v>
      </c>
      <c r="G205" t="s">
        <v>66</v>
      </c>
      <c r="H205">
        <v>1</v>
      </c>
      <c r="I205">
        <v>-2680853.8199999998</v>
      </c>
      <c r="J205" t="s">
        <v>74</v>
      </c>
      <c r="K205">
        <v>2361914468</v>
      </c>
      <c r="L205" t="s">
        <v>105</v>
      </c>
      <c r="M205" t="s">
        <v>28</v>
      </c>
      <c r="N205" t="s">
        <v>29</v>
      </c>
      <c r="O205" t="s">
        <v>42</v>
      </c>
      <c r="P205" t="s">
        <v>59</v>
      </c>
      <c r="Q205">
        <v>370385</v>
      </c>
      <c r="R205" t="s">
        <v>1479</v>
      </c>
      <c r="S205" t="s">
        <v>1269</v>
      </c>
      <c r="T205">
        <v>8441175471</v>
      </c>
      <c r="U205" t="s">
        <v>34</v>
      </c>
      <c r="V205" t="s">
        <v>2475</v>
      </c>
      <c r="W205" s="1">
        <v>44397</v>
      </c>
    </row>
    <row r="206" spans="1:23" x14ac:dyDescent="0.25">
      <c r="A206" t="s">
        <v>1482</v>
      </c>
      <c r="B206" s="1">
        <v>45725</v>
      </c>
      <c r="C206" t="s">
        <v>1483</v>
      </c>
      <c r="D206" t="s">
        <v>380</v>
      </c>
      <c r="E206" t="s">
        <v>73</v>
      </c>
      <c r="F206">
        <v>1121.9100000000001</v>
      </c>
      <c r="G206" t="s">
        <v>66</v>
      </c>
      <c r="H206">
        <v>1</v>
      </c>
      <c r="I206">
        <v>-2681599.58</v>
      </c>
      <c r="J206" t="s">
        <v>62</v>
      </c>
      <c r="K206">
        <v>3190799274</v>
      </c>
      <c r="L206" t="s">
        <v>131</v>
      </c>
      <c r="M206" t="s">
        <v>40</v>
      </c>
      <c r="N206" t="s">
        <v>41</v>
      </c>
      <c r="O206" t="s">
        <v>79</v>
      </c>
      <c r="P206" t="s">
        <v>53</v>
      </c>
      <c r="Q206">
        <v>583145</v>
      </c>
      <c r="R206" t="s">
        <v>1484</v>
      </c>
      <c r="S206" t="s">
        <v>705</v>
      </c>
      <c r="T206">
        <v>-5773645911</v>
      </c>
      <c r="U206" t="s">
        <v>34</v>
      </c>
      <c r="V206" t="s">
        <v>2478</v>
      </c>
      <c r="W206" s="1">
        <v>2024</v>
      </c>
    </row>
    <row r="207" spans="1:23" x14ac:dyDescent="0.25">
      <c r="A207" t="s">
        <v>1485</v>
      </c>
      <c r="B207" s="1">
        <v>45638</v>
      </c>
      <c r="C207" t="s">
        <v>1486</v>
      </c>
      <c r="D207" t="s">
        <v>200</v>
      </c>
      <c r="E207" t="s">
        <v>73</v>
      </c>
      <c r="F207">
        <v>82.48</v>
      </c>
      <c r="G207" t="s">
        <v>2506</v>
      </c>
      <c r="H207">
        <v>1</v>
      </c>
      <c r="I207">
        <v>-2873632.5</v>
      </c>
      <c r="J207" t="s">
        <v>98</v>
      </c>
      <c r="K207">
        <v>4473073407</v>
      </c>
      <c r="L207" t="s">
        <v>99</v>
      </c>
      <c r="M207" t="s">
        <v>68</v>
      </c>
      <c r="N207" t="s">
        <v>69</v>
      </c>
      <c r="O207" t="s">
        <v>79</v>
      </c>
      <c r="P207" t="s">
        <v>43</v>
      </c>
      <c r="Q207">
        <v>432791</v>
      </c>
      <c r="R207" t="s">
        <v>1487</v>
      </c>
      <c r="S207" t="s">
        <v>1488</v>
      </c>
      <c r="T207">
        <v>8090626991</v>
      </c>
      <c r="U207" t="s">
        <v>34</v>
      </c>
      <c r="V207" t="s">
        <v>2477</v>
      </c>
      <c r="W207" s="1">
        <v>2023</v>
      </c>
    </row>
    <row r="208" spans="1:23" x14ac:dyDescent="0.25">
      <c r="A208" t="s">
        <v>1489</v>
      </c>
      <c r="B208" s="1">
        <v>45299</v>
      </c>
      <c r="C208" t="s">
        <v>909</v>
      </c>
      <c r="D208" t="s">
        <v>742</v>
      </c>
      <c r="E208" t="s">
        <v>73</v>
      </c>
      <c r="F208">
        <v>106.8</v>
      </c>
      <c r="G208" t="s">
        <v>66</v>
      </c>
      <c r="H208">
        <v>1</v>
      </c>
      <c r="I208">
        <v>-1556959.21</v>
      </c>
      <c r="J208" t="s">
        <v>26</v>
      </c>
      <c r="K208">
        <v>2660973506</v>
      </c>
      <c r="L208" t="s">
        <v>27</v>
      </c>
      <c r="M208" t="s">
        <v>77</v>
      </c>
      <c r="N208" t="s">
        <v>78</v>
      </c>
      <c r="O208" t="s">
        <v>30</v>
      </c>
      <c r="P208" t="s">
        <v>43</v>
      </c>
      <c r="Q208">
        <v>595186</v>
      </c>
      <c r="R208" t="s">
        <v>1490</v>
      </c>
      <c r="S208" t="s">
        <v>1247</v>
      </c>
      <c r="T208">
        <v>8286843946</v>
      </c>
      <c r="U208" t="s">
        <v>34</v>
      </c>
      <c r="V208" t="s">
        <v>2478</v>
      </c>
      <c r="W208" s="1">
        <v>44132</v>
      </c>
    </row>
    <row r="209" spans="1:23" x14ac:dyDescent="0.25">
      <c r="A209" t="s">
        <v>1491</v>
      </c>
      <c r="B209" s="1">
        <v>45057</v>
      </c>
      <c r="C209" t="s">
        <v>1492</v>
      </c>
      <c r="D209" t="s">
        <v>304</v>
      </c>
      <c r="E209" t="s">
        <v>73</v>
      </c>
      <c r="F209">
        <v>18.79</v>
      </c>
      <c r="G209" t="s">
        <v>66</v>
      </c>
      <c r="H209">
        <v>1</v>
      </c>
      <c r="I209">
        <v>-1163472.99</v>
      </c>
      <c r="J209" t="s">
        <v>38</v>
      </c>
      <c r="K209">
        <v>6195697270</v>
      </c>
      <c r="L209" t="s">
        <v>39</v>
      </c>
      <c r="M209" t="s">
        <v>121</v>
      </c>
      <c r="N209" t="s">
        <v>222</v>
      </c>
      <c r="O209" t="s">
        <v>30</v>
      </c>
      <c r="P209" t="s">
        <v>107</v>
      </c>
      <c r="Q209">
        <v>386979</v>
      </c>
      <c r="R209">
        <v>4408660000000000</v>
      </c>
      <c r="S209" t="s">
        <v>305</v>
      </c>
      <c r="T209">
        <v>3217013192</v>
      </c>
      <c r="U209" t="s">
        <v>34</v>
      </c>
      <c r="V209" t="s">
        <v>2473</v>
      </c>
      <c r="W209" s="1">
        <v>43976</v>
      </c>
    </row>
    <row r="210" spans="1:23" x14ac:dyDescent="0.25">
      <c r="A210" t="s">
        <v>1495</v>
      </c>
      <c r="B210" s="1">
        <v>45750</v>
      </c>
      <c r="C210" t="s">
        <v>1496</v>
      </c>
      <c r="D210" t="s">
        <v>348</v>
      </c>
      <c r="E210" t="s">
        <v>24</v>
      </c>
      <c r="F210">
        <v>9.2100000000000009</v>
      </c>
      <c r="G210" t="s">
        <v>66</v>
      </c>
      <c r="H210">
        <v>1</v>
      </c>
      <c r="I210">
        <v>-1985204.59</v>
      </c>
      <c r="J210" t="s">
        <v>86</v>
      </c>
      <c r="K210">
        <v>864595676</v>
      </c>
      <c r="L210" t="s">
        <v>181</v>
      </c>
      <c r="M210" t="s">
        <v>50</v>
      </c>
      <c r="N210" t="s">
        <v>111</v>
      </c>
      <c r="O210" t="s">
        <v>52</v>
      </c>
      <c r="P210" t="s">
        <v>153</v>
      </c>
      <c r="Q210">
        <v>684</v>
      </c>
      <c r="R210" t="s">
        <v>1497</v>
      </c>
      <c r="S210" t="s">
        <v>1258</v>
      </c>
      <c r="T210">
        <v>4095374557</v>
      </c>
      <c r="U210" t="s">
        <v>34</v>
      </c>
      <c r="V210" t="s">
        <v>2472</v>
      </c>
      <c r="W210" s="1">
        <v>2022</v>
      </c>
    </row>
    <row r="211" spans="1:23" x14ac:dyDescent="0.25">
      <c r="A211" t="s">
        <v>1499</v>
      </c>
      <c r="B211" s="1">
        <v>45936</v>
      </c>
      <c r="C211" t="s">
        <v>1500</v>
      </c>
      <c r="D211" t="s">
        <v>814</v>
      </c>
      <c r="E211" t="s">
        <v>73</v>
      </c>
      <c r="F211">
        <v>8.82</v>
      </c>
      <c r="G211" t="s">
        <v>66</v>
      </c>
      <c r="H211">
        <v>1</v>
      </c>
      <c r="I211">
        <v>-2122206.0699999998</v>
      </c>
      <c r="J211" t="s">
        <v>116</v>
      </c>
      <c r="K211">
        <v>3541092227</v>
      </c>
      <c r="L211" t="s">
        <v>134</v>
      </c>
      <c r="M211" t="s">
        <v>77</v>
      </c>
      <c r="N211" t="s">
        <v>136</v>
      </c>
      <c r="O211" t="s">
        <v>100</v>
      </c>
      <c r="P211" t="s">
        <v>31</v>
      </c>
      <c r="Q211">
        <v>561487</v>
      </c>
      <c r="R211" t="s">
        <v>1501</v>
      </c>
      <c r="S211" t="s">
        <v>1231</v>
      </c>
      <c r="T211">
        <v>9631673739</v>
      </c>
      <c r="U211" t="s">
        <v>34</v>
      </c>
      <c r="V211" t="s">
        <v>2477</v>
      </c>
      <c r="W211" s="1">
        <v>42917</v>
      </c>
    </row>
    <row r="212" spans="1:23" x14ac:dyDescent="0.25">
      <c r="A212" t="s">
        <v>1502</v>
      </c>
      <c r="B212" s="1">
        <v>45637</v>
      </c>
      <c r="C212" t="s">
        <v>1323</v>
      </c>
      <c r="D212" t="s">
        <v>536</v>
      </c>
      <c r="E212" t="s">
        <v>73</v>
      </c>
      <c r="F212">
        <v>14.62</v>
      </c>
      <c r="G212" t="s">
        <v>66</v>
      </c>
      <c r="H212">
        <v>1</v>
      </c>
      <c r="I212">
        <v>-2582105.12</v>
      </c>
      <c r="J212" t="s">
        <v>91</v>
      </c>
      <c r="K212">
        <v>2030620025</v>
      </c>
      <c r="L212" t="s">
        <v>92</v>
      </c>
      <c r="M212" t="s">
        <v>57</v>
      </c>
      <c r="N212" t="s">
        <v>58</v>
      </c>
      <c r="O212" t="s">
        <v>42</v>
      </c>
      <c r="P212" t="s">
        <v>107</v>
      </c>
      <c r="Q212">
        <v>966866</v>
      </c>
      <c r="R212" t="s">
        <v>316</v>
      </c>
      <c r="S212" t="s">
        <v>537</v>
      </c>
      <c r="T212">
        <v>3779766908</v>
      </c>
      <c r="U212" t="s">
        <v>34</v>
      </c>
      <c r="V212" t="s">
        <v>2474</v>
      </c>
      <c r="W212" s="1">
        <v>45706</v>
      </c>
    </row>
    <row r="213" spans="1:23" x14ac:dyDescent="0.25">
      <c r="A213" t="s">
        <v>1503</v>
      </c>
      <c r="B213" s="1">
        <v>45392</v>
      </c>
      <c r="C213" t="s">
        <v>1504</v>
      </c>
      <c r="D213" t="s">
        <v>400</v>
      </c>
      <c r="E213" t="s">
        <v>24</v>
      </c>
      <c r="F213">
        <v>6.94</v>
      </c>
      <c r="G213" t="s">
        <v>56</v>
      </c>
      <c r="H213">
        <v>20.18</v>
      </c>
      <c r="I213">
        <v>-2902624.67</v>
      </c>
      <c r="J213" t="s">
        <v>38</v>
      </c>
      <c r="K213">
        <v>9267489378</v>
      </c>
      <c r="L213" t="s">
        <v>39</v>
      </c>
      <c r="M213" t="s">
        <v>28</v>
      </c>
      <c r="N213" t="s">
        <v>119</v>
      </c>
      <c r="O213" t="s">
        <v>52</v>
      </c>
      <c r="P213" t="s">
        <v>71</v>
      </c>
      <c r="Q213">
        <v>750484</v>
      </c>
      <c r="R213" t="s">
        <v>1505</v>
      </c>
      <c r="S213" t="s">
        <v>1397</v>
      </c>
      <c r="T213">
        <v>1570838558</v>
      </c>
      <c r="U213" t="s">
        <v>34</v>
      </c>
      <c r="V213" t="s">
        <v>2472</v>
      </c>
      <c r="W213" s="1">
        <v>44044</v>
      </c>
    </row>
    <row r="214" spans="1:23" x14ac:dyDescent="0.25">
      <c r="A214" t="s">
        <v>1508</v>
      </c>
      <c r="B214" s="1">
        <v>45508</v>
      </c>
      <c r="C214" t="s">
        <v>1509</v>
      </c>
      <c r="D214" t="s">
        <v>368</v>
      </c>
      <c r="E214" t="s">
        <v>73</v>
      </c>
      <c r="F214">
        <v>44.15</v>
      </c>
      <c r="G214" t="s">
        <v>61</v>
      </c>
      <c r="H214">
        <v>78.837900000000005</v>
      </c>
      <c r="I214">
        <v>-2775322.66</v>
      </c>
      <c r="J214" t="s">
        <v>74</v>
      </c>
      <c r="K214">
        <v>6079239212</v>
      </c>
      <c r="L214" t="s">
        <v>105</v>
      </c>
      <c r="M214" t="s">
        <v>147</v>
      </c>
      <c r="N214" t="s">
        <v>155</v>
      </c>
      <c r="O214" t="s">
        <v>79</v>
      </c>
      <c r="P214" t="s">
        <v>43</v>
      </c>
      <c r="Q214">
        <v>390958</v>
      </c>
      <c r="R214" t="s">
        <v>1510</v>
      </c>
      <c r="S214" t="s">
        <v>369</v>
      </c>
      <c r="T214">
        <v>2426894212</v>
      </c>
      <c r="U214" t="s">
        <v>34</v>
      </c>
      <c r="V214" t="s">
        <v>2476</v>
      </c>
      <c r="W214" s="1">
        <v>45215</v>
      </c>
    </row>
    <row r="215" spans="1:23" x14ac:dyDescent="0.25">
      <c r="A215" t="s">
        <v>1511</v>
      </c>
      <c r="B215" s="1">
        <v>45719</v>
      </c>
      <c r="C215" t="s">
        <v>1512</v>
      </c>
      <c r="D215" t="s">
        <v>593</v>
      </c>
      <c r="E215" t="s">
        <v>24</v>
      </c>
      <c r="F215">
        <v>36.54</v>
      </c>
      <c r="G215" t="s">
        <v>61</v>
      </c>
      <c r="H215">
        <v>81.160300000000007</v>
      </c>
      <c r="I215">
        <v>-2933671.96</v>
      </c>
      <c r="J215" t="s">
        <v>128</v>
      </c>
      <c r="K215">
        <v>-7646927142</v>
      </c>
      <c r="L215" t="s">
        <v>129</v>
      </c>
      <c r="M215" t="s">
        <v>50</v>
      </c>
      <c r="N215" t="s">
        <v>111</v>
      </c>
      <c r="O215" t="s">
        <v>100</v>
      </c>
      <c r="P215" t="s">
        <v>153</v>
      </c>
      <c r="Q215">
        <v>846516</v>
      </c>
      <c r="R215" t="s">
        <v>1513</v>
      </c>
      <c r="S215" t="s">
        <v>984</v>
      </c>
      <c r="T215">
        <v>-9763150017</v>
      </c>
      <c r="U215" t="s">
        <v>34</v>
      </c>
      <c r="V215" t="s">
        <v>2475</v>
      </c>
      <c r="W215" s="1">
        <v>43282</v>
      </c>
    </row>
    <row r="216" spans="1:23" x14ac:dyDescent="0.25">
      <c r="A216" t="s">
        <v>1516</v>
      </c>
      <c r="B216" s="1">
        <v>45629</v>
      </c>
      <c r="C216" t="s">
        <v>1517</v>
      </c>
      <c r="D216" t="s">
        <v>455</v>
      </c>
      <c r="E216" t="s">
        <v>24</v>
      </c>
      <c r="F216">
        <v>16.09</v>
      </c>
      <c r="G216" t="s">
        <v>56</v>
      </c>
      <c r="H216">
        <v>20.4129</v>
      </c>
      <c r="I216">
        <v>9341.19</v>
      </c>
      <c r="J216" t="s">
        <v>48</v>
      </c>
      <c r="K216">
        <v>6498747213</v>
      </c>
      <c r="L216" t="s">
        <v>49</v>
      </c>
      <c r="M216" t="s">
        <v>77</v>
      </c>
      <c r="N216" t="s">
        <v>136</v>
      </c>
      <c r="O216" t="s">
        <v>52</v>
      </c>
      <c r="P216" t="s">
        <v>107</v>
      </c>
      <c r="Q216">
        <v>117233</v>
      </c>
      <c r="R216" t="s">
        <v>1518</v>
      </c>
      <c r="S216" t="s">
        <v>1163</v>
      </c>
      <c r="T216">
        <v>7486937915</v>
      </c>
      <c r="U216" t="s">
        <v>34</v>
      </c>
      <c r="V216" t="s">
        <v>2473</v>
      </c>
      <c r="W216" s="1">
        <v>2017</v>
      </c>
    </row>
    <row r="217" spans="1:23" x14ac:dyDescent="0.25">
      <c r="A217" t="s">
        <v>1521</v>
      </c>
      <c r="B217" s="1">
        <v>45993</v>
      </c>
      <c r="C217" t="s">
        <v>505</v>
      </c>
      <c r="D217" t="s">
        <v>843</v>
      </c>
      <c r="E217" t="s">
        <v>55</v>
      </c>
      <c r="F217">
        <v>3.37</v>
      </c>
      <c r="G217" t="s">
        <v>56</v>
      </c>
      <c r="H217">
        <v>20.413699999999999</v>
      </c>
      <c r="I217">
        <v>-2913132.67</v>
      </c>
      <c r="J217" t="s">
        <v>91</v>
      </c>
      <c r="K217">
        <v>3974102350</v>
      </c>
      <c r="L217" t="s">
        <v>92</v>
      </c>
      <c r="M217" t="s">
        <v>121</v>
      </c>
      <c r="N217" t="s">
        <v>222</v>
      </c>
      <c r="O217" t="s">
        <v>79</v>
      </c>
      <c r="P217" t="s">
        <v>126</v>
      </c>
      <c r="Q217">
        <v>391036</v>
      </c>
      <c r="R217" t="s">
        <v>1522</v>
      </c>
      <c r="S217" t="s">
        <v>1523</v>
      </c>
      <c r="T217">
        <v>6589001420</v>
      </c>
      <c r="U217" t="s">
        <v>34</v>
      </c>
      <c r="V217" t="s">
        <v>2473</v>
      </c>
      <c r="W217" s="1">
        <v>42644</v>
      </c>
    </row>
    <row r="218" spans="1:23" x14ac:dyDescent="0.25">
      <c r="A218" t="s">
        <v>1524</v>
      </c>
      <c r="B218" s="1">
        <v>45572</v>
      </c>
      <c r="C218" t="s">
        <v>1525</v>
      </c>
      <c r="D218" t="s">
        <v>400</v>
      </c>
      <c r="E218" t="s">
        <v>73</v>
      </c>
      <c r="F218">
        <v>20.32</v>
      </c>
      <c r="G218" t="s">
        <v>66</v>
      </c>
      <c r="H218">
        <v>1</v>
      </c>
      <c r="I218">
        <v>-2514831.0099999998</v>
      </c>
      <c r="J218" t="s">
        <v>128</v>
      </c>
      <c r="K218">
        <v>7508009390</v>
      </c>
      <c r="L218" t="s">
        <v>129</v>
      </c>
      <c r="M218" t="s">
        <v>77</v>
      </c>
      <c r="N218" t="s">
        <v>136</v>
      </c>
      <c r="O218" t="s">
        <v>30</v>
      </c>
      <c r="P218" t="s">
        <v>107</v>
      </c>
      <c r="Q218">
        <v>131024</v>
      </c>
      <c r="R218">
        <v>4298750000000000</v>
      </c>
      <c r="S218" t="s">
        <v>1397</v>
      </c>
      <c r="T218">
        <v>9667060020</v>
      </c>
      <c r="U218" t="s">
        <v>34</v>
      </c>
      <c r="V218" t="s">
        <v>2477</v>
      </c>
      <c r="W218" s="1">
        <v>42874</v>
      </c>
    </row>
    <row r="219" spans="1:23" x14ac:dyDescent="0.25">
      <c r="A219" t="s">
        <v>1526</v>
      </c>
      <c r="B219" s="1">
        <v>45874</v>
      </c>
      <c r="C219" t="s">
        <v>606</v>
      </c>
      <c r="D219" t="s">
        <v>632</v>
      </c>
      <c r="E219" t="s">
        <v>24</v>
      </c>
      <c r="F219">
        <v>21.71</v>
      </c>
      <c r="G219" t="s">
        <v>61</v>
      </c>
      <c r="H219">
        <v>78.125299999999996</v>
      </c>
      <c r="I219">
        <v>-1617518.93</v>
      </c>
      <c r="J219" t="s">
        <v>67</v>
      </c>
      <c r="K219">
        <v>9152548432</v>
      </c>
      <c r="L219" t="s">
        <v>178</v>
      </c>
      <c r="M219" t="s">
        <v>83</v>
      </c>
      <c r="N219" t="s">
        <v>117</v>
      </c>
      <c r="O219" t="s">
        <v>100</v>
      </c>
      <c r="P219" t="s">
        <v>31</v>
      </c>
      <c r="Q219">
        <v>905237</v>
      </c>
      <c r="R219" t="s">
        <v>1527</v>
      </c>
      <c r="S219" t="s">
        <v>633</v>
      </c>
      <c r="T219">
        <v>3367259581</v>
      </c>
      <c r="U219" t="s">
        <v>34</v>
      </c>
      <c r="V219" t="s">
        <v>2476</v>
      </c>
      <c r="W219" s="1">
        <v>45839</v>
      </c>
    </row>
    <row r="220" spans="1:23" x14ac:dyDescent="0.25">
      <c r="A220" t="s">
        <v>1528</v>
      </c>
      <c r="B220" s="1">
        <v>45601</v>
      </c>
      <c r="C220" t="s">
        <v>1529</v>
      </c>
      <c r="D220" t="s">
        <v>565</v>
      </c>
      <c r="E220" t="s">
        <v>24</v>
      </c>
      <c r="F220">
        <v>50.47</v>
      </c>
      <c r="G220" t="s">
        <v>61</v>
      </c>
      <c r="H220">
        <v>73.644599999999997</v>
      </c>
      <c r="I220">
        <v>-2626295.83</v>
      </c>
      <c r="J220" t="s">
        <v>102</v>
      </c>
      <c r="K220">
        <v>1035996058</v>
      </c>
      <c r="L220" t="s">
        <v>150</v>
      </c>
      <c r="M220" t="s">
        <v>57</v>
      </c>
      <c r="N220" t="s">
        <v>63</v>
      </c>
      <c r="O220" t="s">
        <v>52</v>
      </c>
      <c r="P220" t="s">
        <v>71</v>
      </c>
      <c r="Q220">
        <v>521528</v>
      </c>
      <c r="R220" t="s">
        <v>1530</v>
      </c>
      <c r="S220" t="s">
        <v>1254</v>
      </c>
      <c r="T220">
        <v>6957196932</v>
      </c>
      <c r="U220" t="s">
        <v>34</v>
      </c>
      <c r="V220" t="s">
        <v>2478</v>
      </c>
      <c r="W220" s="1">
        <v>43009</v>
      </c>
    </row>
    <row r="221" spans="1:23" x14ac:dyDescent="0.25">
      <c r="A221" t="s">
        <v>1533</v>
      </c>
      <c r="B221" s="1">
        <v>45839</v>
      </c>
      <c r="C221" t="s">
        <v>1534</v>
      </c>
      <c r="D221" t="s">
        <v>195</v>
      </c>
      <c r="E221" t="s">
        <v>55</v>
      </c>
      <c r="F221">
        <v>24.08</v>
      </c>
      <c r="G221" t="s">
        <v>47</v>
      </c>
      <c r="H221">
        <v>91.938999999999993</v>
      </c>
      <c r="I221">
        <v>-2538875.4900000002</v>
      </c>
      <c r="J221" t="s">
        <v>91</v>
      </c>
      <c r="K221">
        <v>7895682734</v>
      </c>
      <c r="L221" t="s">
        <v>92</v>
      </c>
      <c r="M221" t="s">
        <v>68</v>
      </c>
      <c r="N221" t="s">
        <v>277</v>
      </c>
      <c r="O221" t="s">
        <v>42</v>
      </c>
      <c r="P221" t="s">
        <v>75</v>
      </c>
      <c r="Q221">
        <v>176322</v>
      </c>
      <c r="R221" t="s">
        <v>1535</v>
      </c>
      <c r="S221" t="s">
        <v>1536</v>
      </c>
      <c r="T221">
        <v>2959868783</v>
      </c>
      <c r="U221" t="s">
        <v>34</v>
      </c>
      <c r="V221" t="s">
        <v>2474</v>
      </c>
      <c r="W221" s="1">
        <v>2026</v>
      </c>
    </row>
    <row r="222" spans="1:23" x14ac:dyDescent="0.25">
      <c r="A222" t="s">
        <v>1539</v>
      </c>
      <c r="B222" s="1">
        <v>45932</v>
      </c>
      <c r="C222" t="s">
        <v>1540</v>
      </c>
      <c r="D222" t="s">
        <v>135</v>
      </c>
      <c r="E222" t="s">
        <v>24</v>
      </c>
      <c r="F222">
        <v>9.69</v>
      </c>
      <c r="G222" t="s">
        <v>2506</v>
      </c>
      <c r="H222">
        <v>1</v>
      </c>
      <c r="I222">
        <v>-1824317.6</v>
      </c>
      <c r="J222" t="s">
        <v>116</v>
      </c>
      <c r="K222">
        <v>161370362</v>
      </c>
      <c r="L222" t="s">
        <v>134</v>
      </c>
      <c r="M222" t="s">
        <v>77</v>
      </c>
      <c r="N222" t="s">
        <v>307</v>
      </c>
      <c r="O222" t="s">
        <v>79</v>
      </c>
      <c r="P222" t="s">
        <v>126</v>
      </c>
      <c r="Q222">
        <v>885981</v>
      </c>
      <c r="R222" t="s">
        <v>1541</v>
      </c>
      <c r="S222" t="s">
        <v>407</v>
      </c>
      <c r="T222">
        <v>-5940581224</v>
      </c>
      <c r="U222" t="s">
        <v>34</v>
      </c>
      <c r="V222" t="s">
        <v>2478</v>
      </c>
      <c r="W222" s="1">
        <v>2019</v>
      </c>
    </row>
    <row r="223" spans="1:23" x14ac:dyDescent="0.25">
      <c r="A223" t="s">
        <v>1542</v>
      </c>
      <c r="B223" s="1">
        <v>45294</v>
      </c>
      <c r="C223" t="s">
        <v>1543</v>
      </c>
      <c r="D223" t="s">
        <v>184</v>
      </c>
      <c r="E223" t="s">
        <v>24</v>
      </c>
      <c r="F223">
        <v>3.64</v>
      </c>
      <c r="G223" t="s">
        <v>47</v>
      </c>
      <c r="H223">
        <v>99.532499999999999</v>
      </c>
      <c r="I223">
        <v>-1984802.52</v>
      </c>
      <c r="J223" t="s">
        <v>86</v>
      </c>
      <c r="K223">
        <v>9568264400</v>
      </c>
      <c r="L223" t="s">
        <v>181</v>
      </c>
      <c r="M223" t="s">
        <v>57</v>
      </c>
      <c r="N223" t="s">
        <v>58</v>
      </c>
      <c r="O223" t="s">
        <v>79</v>
      </c>
      <c r="P223" t="s">
        <v>107</v>
      </c>
      <c r="Q223">
        <v>199141</v>
      </c>
      <c r="R223" t="s">
        <v>1544</v>
      </c>
      <c r="S223" t="s">
        <v>185</v>
      </c>
      <c r="T223">
        <v>363760568</v>
      </c>
      <c r="U223" t="s">
        <v>34</v>
      </c>
      <c r="V223" t="s">
        <v>2472</v>
      </c>
      <c r="W223" s="1">
        <v>44117</v>
      </c>
    </row>
    <row r="224" spans="1:23" x14ac:dyDescent="0.25">
      <c r="A224" t="s">
        <v>1545</v>
      </c>
      <c r="B224" s="1">
        <v>45748</v>
      </c>
      <c r="C224" t="s">
        <v>1546</v>
      </c>
      <c r="D224" t="s">
        <v>217</v>
      </c>
      <c r="E224" t="s">
        <v>73</v>
      </c>
      <c r="F224">
        <v>153.57</v>
      </c>
      <c r="G224" t="s">
        <v>66</v>
      </c>
      <c r="H224">
        <v>1</v>
      </c>
      <c r="I224">
        <v>-529153.56999999995</v>
      </c>
      <c r="J224" t="s">
        <v>91</v>
      </c>
      <c r="K224">
        <v>-586705718</v>
      </c>
      <c r="L224" t="s">
        <v>92</v>
      </c>
      <c r="M224" t="s">
        <v>68</v>
      </c>
      <c r="N224" t="s">
        <v>69</v>
      </c>
      <c r="O224" t="s">
        <v>52</v>
      </c>
      <c r="P224" t="s">
        <v>93</v>
      </c>
      <c r="Q224">
        <v>131324</v>
      </c>
      <c r="R224" t="s">
        <v>1547</v>
      </c>
      <c r="S224" t="s">
        <v>1271</v>
      </c>
      <c r="T224">
        <v>3493827383</v>
      </c>
      <c r="U224" t="s">
        <v>34</v>
      </c>
      <c r="V224" t="s">
        <v>2478</v>
      </c>
      <c r="W224" s="1">
        <v>43464</v>
      </c>
    </row>
    <row r="225" spans="1:23" x14ac:dyDescent="0.25">
      <c r="A225" t="s">
        <v>1548</v>
      </c>
      <c r="B225" s="1">
        <v>45148</v>
      </c>
      <c r="C225" t="s">
        <v>1549</v>
      </c>
      <c r="D225" t="s">
        <v>224</v>
      </c>
      <c r="E225" t="s">
        <v>24</v>
      </c>
      <c r="F225">
        <v>47.02</v>
      </c>
      <c r="G225" t="s">
        <v>66</v>
      </c>
      <c r="H225">
        <v>1</v>
      </c>
      <c r="I225">
        <v>-1626980.5</v>
      </c>
      <c r="J225" t="s">
        <v>26</v>
      </c>
      <c r="K225">
        <v>190440424</v>
      </c>
      <c r="L225" t="s">
        <v>27</v>
      </c>
      <c r="M225" t="s">
        <v>147</v>
      </c>
      <c r="N225" t="s">
        <v>155</v>
      </c>
      <c r="O225" t="s">
        <v>42</v>
      </c>
      <c r="P225" t="s">
        <v>126</v>
      </c>
      <c r="Q225">
        <v>112256</v>
      </c>
      <c r="R225" t="s">
        <v>1550</v>
      </c>
      <c r="S225" t="s">
        <v>1551</v>
      </c>
      <c r="T225">
        <v>3906200104</v>
      </c>
      <c r="U225" t="s">
        <v>34</v>
      </c>
      <c r="V225" t="s">
        <v>2473</v>
      </c>
      <c r="W225" s="1">
        <v>43525</v>
      </c>
    </row>
    <row r="226" spans="1:23" x14ac:dyDescent="0.25">
      <c r="A226" t="s">
        <v>1552</v>
      </c>
      <c r="B226" s="1">
        <v>45324</v>
      </c>
      <c r="C226" t="s">
        <v>1553</v>
      </c>
      <c r="D226" t="s">
        <v>157</v>
      </c>
      <c r="E226" t="s">
        <v>73</v>
      </c>
      <c r="F226">
        <v>136.71</v>
      </c>
      <c r="G226" t="s">
        <v>47</v>
      </c>
      <c r="H226">
        <v>107.09220000000001</v>
      </c>
      <c r="I226">
        <v>-2580762.5499999998</v>
      </c>
      <c r="J226" t="s">
        <v>67</v>
      </c>
      <c r="K226">
        <v>6059828038</v>
      </c>
      <c r="L226" t="s">
        <v>178</v>
      </c>
      <c r="M226" t="s">
        <v>77</v>
      </c>
      <c r="N226" t="s">
        <v>78</v>
      </c>
      <c r="O226" t="s">
        <v>70</v>
      </c>
      <c r="P226" t="s">
        <v>53</v>
      </c>
      <c r="Q226">
        <v>859066</v>
      </c>
      <c r="R226" t="s">
        <v>1554</v>
      </c>
      <c r="S226" t="s">
        <v>948</v>
      </c>
      <c r="T226">
        <v>6804239738</v>
      </c>
      <c r="U226" t="s">
        <v>34</v>
      </c>
      <c r="V226" t="s">
        <v>2473</v>
      </c>
      <c r="W226" s="1">
        <v>42430</v>
      </c>
    </row>
    <row r="227" spans="1:23" x14ac:dyDescent="0.25">
      <c r="A227" t="s">
        <v>1555</v>
      </c>
      <c r="B227" s="1">
        <v>45598</v>
      </c>
      <c r="C227" t="s">
        <v>1556</v>
      </c>
      <c r="D227" t="s">
        <v>253</v>
      </c>
      <c r="E227" t="s">
        <v>73</v>
      </c>
      <c r="F227">
        <v>42.14</v>
      </c>
      <c r="G227" t="s">
        <v>61</v>
      </c>
      <c r="H227">
        <v>78.514099999999999</v>
      </c>
      <c r="I227">
        <v>-2652686.4900000002</v>
      </c>
      <c r="J227" t="s">
        <v>86</v>
      </c>
      <c r="K227">
        <v>648188402</v>
      </c>
      <c r="L227" t="s">
        <v>181</v>
      </c>
      <c r="M227" t="s">
        <v>40</v>
      </c>
      <c r="N227" t="s">
        <v>139</v>
      </c>
      <c r="O227" t="s">
        <v>79</v>
      </c>
      <c r="P227" t="s">
        <v>59</v>
      </c>
      <c r="Q227">
        <v>647013</v>
      </c>
      <c r="R227" t="s">
        <v>1557</v>
      </c>
      <c r="S227" t="s">
        <v>318</v>
      </c>
      <c r="T227">
        <v>-3066298254</v>
      </c>
      <c r="U227" t="s">
        <v>34</v>
      </c>
      <c r="V227" t="s">
        <v>2473</v>
      </c>
      <c r="W227" s="1">
        <v>2022</v>
      </c>
    </row>
    <row r="228" spans="1:23" x14ac:dyDescent="0.25">
      <c r="A228" t="s">
        <v>1558</v>
      </c>
      <c r="B228" s="1">
        <v>45385</v>
      </c>
      <c r="C228" t="s">
        <v>1559</v>
      </c>
      <c r="D228" t="s">
        <v>421</v>
      </c>
      <c r="E228" t="s">
        <v>24</v>
      </c>
      <c r="F228">
        <v>36.97</v>
      </c>
      <c r="G228" t="s">
        <v>47</v>
      </c>
      <c r="H228">
        <v>105.8201</v>
      </c>
      <c r="I228">
        <v>-1640310.05</v>
      </c>
      <c r="J228" t="s">
        <v>81</v>
      </c>
      <c r="K228">
        <v>5834150089</v>
      </c>
      <c r="L228" t="s">
        <v>82</v>
      </c>
      <c r="M228" t="s">
        <v>68</v>
      </c>
      <c r="N228" t="s">
        <v>114</v>
      </c>
      <c r="O228" t="s">
        <v>79</v>
      </c>
      <c r="P228" t="s">
        <v>93</v>
      </c>
      <c r="Q228">
        <v>429421</v>
      </c>
      <c r="R228">
        <v>4927730000000000</v>
      </c>
      <c r="S228" t="s">
        <v>906</v>
      </c>
      <c r="T228">
        <v>1390527416</v>
      </c>
      <c r="U228" t="s">
        <v>34</v>
      </c>
      <c r="V228" t="s">
        <v>2473</v>
      </c>
      <c r="W228" s="1">
        <v>44562</v>
      </c>
    </row>
    <row r="229" spans="1:23" x14ac:dyDescent="0.25">
      <c r="A229" t="s">
        <v>1561</v>
      </c>
      <c r="B229" s="1">
        <v>45931</v>
      </c>
      <c r="C229" t="s">
        <v>1562</v>
      </c>
      <c r="D229" t="s">
        <v>345</v>
      </c>
      <c r="E229" t="s">
        <v>24</v>
      </c>
      <c r="F229">
        <v>53.39</v>
      </c>
      <c r="G229" t="s">
        <v>47</v>
      </c>
      <c r="H229">
        <v>100.9098</v>
      </c>
      <c r="I229">
        <v>-2901376.99</v>
      </c>
      <c r="J229" t="s">
        <v>116</v>
      </c>
      <c r="K229">
        <v>-8291514683</v>
      </c>
      <c r="L229" t="s">
        <v>134</v>
      </c>
      <c r="M229" t="s">
        <v>57</v>
      </c>
      <c r="N229" t="s">
        <v>63</v>
      </c>
      <c r="O229" t="s">
        <v>100</v>
      </c>
      <c r="P229" t="s">
        <v>59</v>
      </c>
      <c r="Q229">
        <v>845109</v>
      </c>
      <c r="R229" t="s">
        <v>1563</v>
      </c>
      <c r="S229" t="s">
        <v>801</v>
      </c>
      <c r="T229">
        <v>-6290638483</v>
      </c>
      <c r="U229" t="s">
        <v>34</v>
      </c>
      <c r="V229" t="s">
        <v>2473</v>
      </c>
      <c r="W229" s="1">
        <v>42197</v>
      </c>
    </row>
    <row r="230" spans="1:23" x14ac:dyDescent="0.25">
      <c r="A230" t="s">
        <v>1564</v>
      </c>
      <c r="B230" s="1">
        <v>45690</v>
      </c>
      <c r="C230" t="s">
        <v>1565</v>
      </c>
      <c r="D230" t="s">
        <v>334</v>
      </c>
      <c r="E230" t="s">
        <v>73</v>
      </c>
      <c r="F230">
        <v>12.79</v>
      </c>
      <c r="G230" t="s">
        <v>56</v>
      </c>
      <c r="H230">
        <v>18.995799999999999</v>
      </c>
      <c r="I230">
        <v>-182789.78</v>
      </c>
      <c r="J230" t="s">
        <v>67</v>
      </c>
      <c r="K230">
        <v>8466073981</v>
      </c>
      <c r="L230" t="s">
        <v>178</v>
      </c>
      <c r="M230" t="s">
        <v>57</v>
      </c>
      <c r="N230" t="s">
        <v>209</v>
      </c>
      <c r="O230" t="s">
        <v>70</v>
      </c>
      <c r="P230" t="s">
        <v>53</v>
      </c>
      <c r="Q230">
        <v>433424</v>
      </c>
      <c r="R230" t="s">
        <v>1566</v>
      </c>
      <c r="S230" t="s">
        <v>444</v>
      </c>
      <c r="T230">
        <v>8946503566</v>
      </c>
      <c r="U230" t="s">
        <v>34</v>
      </c>
      <c r="V230" t="s">
        <v>2475</v>
      </c>
      <c r="W230" s="1">
        <v>45816</v>
      </c>
    </row>
    <row r="231" spans="1:23" x14ac:dyDescent="0.25">
      <c r="A231" t="s">
        <v>1567</v>
      </c>
      <c r="B231" s="1">
        <v>45543</v>
      </c>
      <c r="C231" t="s">
        <v>1568</v>
      </c>
      <c r="D231" t="s">
        <v>837</v>
      </c>
      <c r="E231" t="s">
        <v>24</v>
      </c>
      <c r="F231">
        <v>50.25</v>
      </c>
      <c r="G231" t="s">
        <v>56</v>
      </c>
      <c r="H231">
        <v>21.895</v>
      </c>
      <c r="I231">
        <v>-441459.4</v>
      </c>
      <c r="J231" t="s">
        <v>86</v>
      </c>
      <c r="K231">
        <v>5484025183</v>
      </c>
      <c r="L231" t="s">
        <v>181</v>
      </c>
      <c r="M231" t="s">
        <v>28</v>
      </c>
      <c r="N231" t="s">
        <v>29</v>
      </c>
      <c r="O231" t="s">
        <v>42</v>
      </c>
      <c r="P231" t="s">
        <v>59</v>
      </c>
      <c r="Q231">
        <v>756137</v>
      </c>
      <c r="R231" t="s">
        <v>1569</v>
      </c>
      <c r="S231" t="s">
        <v>1140</v>
      </c>
      <c r="T231">
        <v>7184523102</v>
      </c>
      <c r="U231" t="s">
        <v>34</v>
      </c>
      <c r="V231" t="s">
        <v>2474</v>
      </c>
      <c r="W231" s="1">
        <v>43490</v>
      </c>
    </row>
    <row r="232" spans="1:23" x14ac:dyDescent="0.25">
      <c r="A232" t="s">
        <v>1570</v>
      </c>
      <c r="B232" s="1">
        <v>45303</v>
      </c>
      <c r="C232" t="s">
        <v>1571</v>
      </c>
      <c r="D232" t="s">
        <v>125</v>
      </c>
      <c r="E232" t="s">
        <v>73</v>
      </c>
      <c r="F232">
        <v>15.5</v>
      </c>
      <c r="G232" t="s">
        <v>66</v>
      </c>
      <c r="H232">
        <v>1</v>
      </c>
      <c r="I232">
        <v>-1935529.83</v>
      </c>
      <c r="J232" t="s">
        <v>98</v>
      </c>
      <c r="K232">
        <v>6259506888</v>
      </c>
      <c r="L232" t="s">
        <v>99</v>
      </c>
      <c r="M232" t="s">
        <v>68</v>
      </c>
      <c r="N232" t="s">
        <v>69</v>
      </c>
      <c r="O232" t="s">
        <v>70</v>
      </c>
      <c r="P232" t="s">
        <v>107</v>
      </c>
      <c r="Q232">
        <v>721</v>
      </c>
      <c r="R232" t="s">
        <v>1572</v>
      </c>
      <c r="S232" t="s">
        <v>1573</v>
      </c>
      <c r="T232">
        <v>5216887209</v>
      </c>
      <c r="U232" t="s">
        <v>34</v>
      </c>
      <c r="V232" t="s">
        <v>2477</v>
      </c>
      <c r="W232" s="1">
        <v>46023</v>
      </c>
    </row>
    <row r="233" spans="1:23" x14ac:dyDescent="0.25">
      <c r="A233" t="s">
        <v>1574</v>
      </c>
      <c r="B233" s="1">
        <v>45992</v>
      </c>
      <c r="C233" t="s">
        <v>1575</v>
      </c>
      <c r="D233" t="s">
        <v>699</v>
      </c>
      <c r="E233" t="s">
        <v>73</v>
      </c>
      <c r="F233">
        <v>22.95</v>
      </c>
      <c r="G233" t="s">
        <v>66</v>
      </c>
      <c r="H233">
        <v>1</v>
      </c>
      <c r="I233">
        <v>-2231781.6800000002</v>
      </c>
      <c r="J233" t="s">
        <v>62</v>
      </c>
      <c r="K233">
        <v>6299229007</v>
      </c>
      <c r="L233" t="s">
        <v>131</v>
      </c>
      <c r="M233" t="s">
        <v>57</v>
      </c>
      <c r="N233" t="s">
        <v>63</v>
      </c>
      <c r="O233" t="s">
        <v>30</v>
      </c>
      <c r="P233" t="s">
        <v>75</v>
      </c>
      <c r="Q233">
        <v>136540</v>
      </c>
      <c r="R233" t="s">
        <v>1348</v>
      </c>
      <c r="S233" t="s">
        <v>1576</v>
      </c>
      <c r="T233">
        <v>2114631293</v>
      </c>
      <c r="U233" t="s">
        <v>34</v>
      </c>
      <c r="V233" t="s">
        <v>2472</v>
      </c>
      <c r="W233" s="1">
        <v>42552</v>
      </c>
    </row>
    <row r="234" spans="1:23" x14ac:dyDescent="0.25">
      <c r="A234" t="s">
        <v>1578</v>
      </c>
      <c r="B234" s="1">
        <v>45449</v>
      </c>
      <c r="C234" t="s">
        <v>1579</v>
      </c>
      <c r="D234" t="s">
        <v>545</v>
      </c>
      <c r="E234" t="s">
        <v>55</v>
      </c>
      <c r="F234">
        <v>121.33</v>
      </c>
      <c r="G234" t="s">
        <v>47</v>
      </c>
      <c r="H234">
        <v>101.264</v>
      </c>
      <c r="I234">
        <v>-2773258.53</v>
      </c>
      <c r="J234" t="s">
        <v>81</v>
      </c>
      <c r="K234">
        <v>9795243043</v>
      </c>
      <c r="L234" t="s">
        <v>82</v>
      </c>
      <c r="M234" t="s">
        <v>57</v>
      </c>
      <c r="N234" t="s">
        <v>63</v>
      </c>
      <c r="O234" t="s">
        <v>70</v>
      </c>
      <c r="P234" t="s">
        <v>153</v>
      </c>
      <c r="Q234">
        <v>648949</v>
      </c>
      <c r="R234" t="s">
        <v>1580</v>
      </c>
      <c r="S234" t="s">
        <v>1581</v>
      </c>
      <c r="T234">
        <v>9350231054</v>
      </c>
      <c r="U234" t="s">
        <v>34</v>
      </c>
      <c r="V234" t="s">
        <v>2478</v>
      </c>
      <c r="W234" s="1">
        <v>42736</v>
      </c>
    </row>
    <row r="235" spans="1:23" x14ac:dyDescent="0.25">
      <c r="A235" t="s">
        <v>1585</v>
      </c>
      <c r="B235" s="1">
        <v>45416</v>
      </c>
      <c r="C235" t="s">
        <v>1586</v>
      </c>
      <c r="D235" t="s">
        <v>466</v>
      </c>
      <c r="E235" t="s">
        <v>24</v>
      </c>
      <c r="F235">
        <v>14.85</v>
      </c>
      <c r="G235" t="s">
        <v>61</v>
      </c>
      <c r="H235">
        <v>77.5976</v>
      </c>
      <c r="I235">
        <v>-2868241.97</v>
      </c>
      <c r="J235" t="s">
        <v>98</v>
      </c>
      <c r="K235">
        <v>-9417978465</v>
      </c>
      <c r="L235" t="s">
        <v>99</v>
      </c>
      <c r="M235" t="s">
        <v>68</v>
      </c>
      <c r="N235" t="s">
        <v>114</v>
      </c>
      <c r="O235" t="s">
        <v>100</v>
      </c>
      <c r="P235" t="s">
        <v>59</v>
      </c>
      <c r="Q235">
        <v>549</v>
      </c>
      <c r="R235" t="s">
        <v>1587</v>
      </c>
      <c r="S235" t="s">
        <v>1064</v>
      </c>
      <c r="T235">
        <v>9187481074</v>
      </c>
      <c r="U235" t="s">
        <v>34</v>
      </c>
      <c r="V235" t="s">
        <v>2478</v>
      </c>
      <c r="W235" s="1">
        <v>2017</v>
      </c>
    </row>
    <row r="236" spans="1:23" x14ac:dyDescent="0.25">
      <c r="A236" t="s">
        <v>1588</v>
      </c>
      <c r="B236" s="1">
        <v>45484</v>
      </c>
      <c r="C236" t="s">
        <v>955</v>
      </c>
      <c r="D236" t="s">
        <v>432</v>
      </c>
      <c r="E236" t="s">
        <v>73</v>
      </c>
      <c r="F236">
        <v>30.91</v>
      </c>
      <c r="G236" t="s">
        <v>47</v>
      </c>
      <c r="H236">
        <v>94.3977</v>
      </c>
      <c r="I236">
        <v>-2464431.42</v>
      </c>
      <c r="J236" t="s">
        <v>67</v>
      </c>
      <c r="K236">
        <v>8044301765</v>
      </c>
      <c r="L236" t="s">
        <v>178</v>
      </c>
      <c r="M236" t="s">
        <v>28</v>
      </c>
      <c r="N236" t="s">
        <v>29</v>
      </c>
      <c r="O236" t="s">
        <v>79</v>
      </c>
      <c r="P236" t="s">
        <v>71</v>
      </c>
      <c r="Q236">
        <v>968544</v>
      </c>
      <c r="R236" t="s">
        <v>1589</v>
      </c>
      <c r="S236" t="s">
        <v>1036</v>
      </c>
      <c r="T236">
        <v>7320061911</v>
      </c>
      <c r="U236" t="s">
        <v>34</v>
      </c>
      <c r="V236" t="s">
        <v>2473</v>
      </c>
      <c r="W236" s="1">
        <v>2017</v>
      </c>
    </row>
    <row r="237" spans="1:23" x14ac:dyDescent="0.25">
      <c r="A237" t="s">
        <v>1591</v>
      </c>
      <c r="B237" s="1">
        <v>45537</v>
      </c>
      <c r="C237" t="s">
        <v>605</v>
      </c>
      <c r="D237" t="s">
        <v>814</v>
      </c>
      <c r="E237" t="s">
        <v>24</v>
      </c>
      <c r="F237">
        <v>-54.92</v>
      </c>
      <c r="G237" t="s">
        <v>56</v>
      </c>
      <c r="H237">
        <v>18.373100000000001</v>
      </c>
      <c r="I237">
        <v>-1272712.08</v>
      </c>
      <c r="J237" t="s">
        <v>62</v>
      </c>
      <c r="K237">
        <v>9719492777</v>
      </c>
      <c r="L237" t="s">
        <v>131</v>
      </c>
      <c r="M237" t="s">
        <v>147</v>
      </c>
      <c r="N237" t="s">
        <v>155</v>
      </c>
      <c r="O237" t="s">
        <v>100</v>
      </c>
      <c r="P237" t="s">
        <v>153</v>
      </c>
      <c r="Q237">
        <v>589068</v>
      </c>
      <c r="R237">
        <v>4115080000000000</v>
      </c>
      <c r="S237" t="s">
        <v>1231</v>
      </c>
      <c r="T237">
        <v>3712064256</v>
      </c>
      <c r="U237" t="s">
        <v>34</v>
      </c>
      <c r="V237" t="s">
        <v>2474</v>
      </c>
      <c r="W237" s="1">
        <v>2025</v>
      </c>
    </row>
    <row r="238" spans="1:23" x14ac:dyDescent="0.25">
      <c r="A238" t="s">
        <v>1593</v>
      </c>
      <c r="B238" s="1">
        <v>45718</v>
      </c>
      <c r="C238" t="s">
        <v>1594</v>
      </c>
      <c r="D238" t="s">
        <v>347</v>
      </c>
      <c r="E238" t="s">
        <v>24</v>
      </c>
      <c r="F238">
        <v>60.54</v>
      </c>
      <c r="G238" t="s">
        <v>56</v>
      </c>
      <c r="H238">
        <v>21.396100000000001</v>
      </c>
      <c r="I238">
        <v>-1809053.08</v>
      </c>
      <c r="J238" t="s">
        <v>74</v>
      </c>
      <c r="K238">
        <v>6246319751</v>
      </c>
      <c r="L238" t="s">
        <v>105</v>
      </c>
      <c r="M238" t="s">
        <v>40</v>
      </c>
      <c r="N238" t="s">
        <v>106</v>
      </c>
      <c r="O238" t="s">
        <v>42</v>
      </c>
      <c r="P238" t="s">
        <v>93</v>
      </c>
      <c r="Q238">
        <v>338366</v>
      </c>
      <c r="R238" t="s">
        <v>1259</v>
      </c>
      <c r="S238" t="s">
        <v>588</v>
      </c>
      <c r="T238">
        <v>-3508896136</v>
      </c>
      <c r="U238" t="s">
        <v>34</v>
      </c>
      <c r="V238" t="s">
        <v>2474</v>
      </c>
      <c r="W238" s="1">
        <v>2020</v>
      </c>
    </row>
    <row r="239" spans="1:23" x14ac:dyDescent="0.25">
      <c r="A239" t="s">
        <v>1596</v>
      </c>
      <c r="B239" s="1">
        <v>45636</v>
      </c>
      <c r="C239" t="s">
        <v>1597</v>
      </c>
      <c r="D239" t="s">
        <v>448</v>
      </c>
      <c r="E239" t="s">
        <v>24</v>
      </c>
      <c r="F239">
        <v>6.55</v>
      </c>
      <c r="G239" t="s">
        <v>292</v>
      </c>
      <c r="H239">
        <v>1</v>
      </c>
      <c r="I239">
        <v>-1500744.78</v>
      </c>
      <c r="J239" t="s">
        <v>116</v>
      </c>
      <c r="K239">
        <v>5789920231</v>
      </c>
      <c r="L239" t="s">
        <v>134</v>
      </c>
      <c r="M239" t="s">
        <v>50</v>
      </c>
      <c r="N239" t="s">
        <v>51</v>
      </c>
      <c r="O239" t="s">
        <v>30</v>
      </c>
      <c r="P239" t="s">
        <v>93</v>
      </c>
      <c r="Q239">
        <v>253487</v>
      </c>
      <c r="R239">
        <v>4837440000000000</v>
      </c>
      <c r="S239" t="s">
        <v>611</v>
      </c>
      <c r="T239">
        <v>7280563193</v>
      </c>
      <c r="U239" t="s">
        <v>34</v>
      </c>
      <c r="V239" t="s">
        <v>2472</v>
      </c>
      <c r="W239" s="1">
        <v>2025</v>
      </c>
    </row>
    <row r="240" spans="1:23" x14ac:dyDescent="0.25">
      <c r="A240" t="s">
        <v>1598</v>
      </c>
      <c r="B240" s="1">
        <v>45326</v>
      </c>
      <c r="C240" t="s">
        <v>1599</v>
      </c>
      <c r="D240" t="s">
        <v>491</v>
      </c>
      <c r="E240" t="s">
        <v>73</v>
      </c>
      <c r="F240">
        <v>89.63</v>
      </c>
      <c r="G240" t="s">
        <v>56</v>
      </c>
      <c r="H240">
        <v>18.9941</v>
      </c>
      <c r="I240">
        <v>-1412188.98</v>
      </c>
      <c r="J240" t="s">
        <v>62</v>
      </c>
      <c r="K240">
        <v>9270234202</v>
      </c>
      <c r="L240" t="s">
        <v>131</v>
      </c>
      <c r="M240" t="s">
        <v>50</v>
      </c>
      <c r="N240" t="s">
        <v>51</v>
      </c>
      <c r="O240" t="s">
        <v>42</v>
      </c>
      <c r="P240" t="s">
        <v>53</v>
      </c>
      <c r="Q240">
        <v>781106</v>
      </c>
      <c r="R240" t="s">
        <v>1600</v>
      </c>
      <c r="S240" t="s">
        <v>492</v>
      </c>
      <c r="T240">
        <v>6283336725</v>
      </c>
      <c r="U240" t="s">
        <v>34</v>
      </c>
      <c r="V240" t="s">
        <v>2473</v>
      </c>
      <c r="W240" s="1">
        <v>2018</v>
      </c>
    </row>
    <row r="241" spans="1:23" x14ac:dyDescent="0.25">
      <c r="A241" t="s">
        <v>1601</v>
      </c>
      <c r="B241" s="1">
        <v>45211</v>
      </c>
      <c r="C241" t="s">
        <v>907</v>
      </c>
      <c r="D241" t="s">
        <v>471</v>
      </c>
      <c r="E241" t="s">
        <v>24</v>
      </c>
      <c r="F241">
        <v>23</v>
      </c>
      <c r="G241" t="s">
        <v>2506</v>
      </c>
      <c r="H241">
        <v>1</v>
      </c>
      <c r="I241">
        <v>-1198967.75</v>
      </c>
      <c r="J241" t="s">
        <v>86</v>
      </c>
      <c r="K241">
        <v>5674416390</v>
      </c>
      <c r="L241" t="s">
        <v>181</v>
      </c>
      <c r="M241" t="s">
        <v>121</v>
      </c>
      <c r="N241" t="s">
        <v>222</v>
      </c>
      <c r="O241" t="s">
        <v>100</v>
      </c>
      <c r="P241" t="s">
        <v>75</v>
      </c>
      <c r="Q241">
        <v>202566</v>
      </c>
      <c r="R241" t="s">
        <v>1602</v>
      </c>
      <c r="S241" t="s">
        <v>619</v>
      </c>
      <c r="T241">
        <v>3749037078</v>
      </c>
      <c r="U241" t="s">
        <v>34</v>
      </c>
      <c r="V241" t="s">
        <v>2476</v>
      </c>
      <c r="W241" s="1">
        <v>2019</v>
      </c>
    </row>
    <row r="242" spans="1:23" x14ac:dyDescent="0.25">
      <c r="A242" t="s">
        <v>1603</v>
      </c>
      <c r="B242" s="1">
        <v>45847</v>
      </c>
      <c r="C242" t="s">
        <v>1604</v>
      </c>
      <c r="D242" t="s">
        <v>704</v>
      </c>
      <c r="E242" t="s">
        <v>73</v>
      </c>
      <c r="F242">
        <v>16.95</v>
      </c>
      <c r="G242" t="s">
        <v>56</v>
      </c>
      <c r="H242">
        <v>21.839700000000001</v>
      </c>
      <c r="I242">
        <v>-1272756.81</v>
      </c>
      <c r="J242" t="s">
        <v>116</v>
      </c>
      <c r="K242">
        <v>3913113314</v>
      </c>
      <c r="L242" t="s">
        <v>134</v>
      </c>
      <c r="M242" t="s">
        <v>87</v>
      </c>
      <c r="N242" t="s">
        <v>151</v>
      </c>
      <c r="O242" t="s">
        <v>70</v>
      </c>
      <c r="P242" t="s">
        <v>126</v>
      </c>
      <c r="Q242">
        <v>414080</v>
      </c>
      <c r="R242" t="s">
        <v>1605</v>
      </c>
      <c r="S242" t="s">
        <v>1606</v>
      </c>
      <c r="T242">
        <v>9146509395</v>
      </c>
      <c r="U242" t="s">
        <v>34</v>
      </c>
      <c r="V242" t="s">
        <v>2474</v>
      </c>
      <c r="W242" s="1">
        <v>2017</v>
      </c>
    </row>
    <row r="243" spans="1:23" x14ac:dyDescent="0.25">
      <c r="A243" t="s">
        <v>1607</v>
      </c>
      <c r="B243" s="1">
        <v>45751</v>
      </c>
      <c r="C243" t="s">
        <v>1595</v>
      </c>
      <c r="D243" t="s">
        <v>358</v>
      </c>
      <c r="E243" t="s">
        <v>24</v>
      </c>
      <c r="F243">
        <v>44.36</v>
      </c>
      <c r="G243" t="s">
        <v>66</v>
      </c>
      <c r="H243">
        <v>1</v>
      </c>
      <c r="I243">
        <v>-2236660.81</v>
      </c>
      <c r="J243" t="s">
        <v>74</v>
      </c>
      <c r="K243">
        <v>5378511955</v>
      </c>
      <c r="L243" t="s">
        <v>105</v>
      </c>
      <c r="M243" t="s">
        <v>28</v>
      </c>
      <c r="N243" t="s">
        <v>29</v>
      </c>
      <c r="O243" t="s">
        <v>42</v>
      </c>
      <c r="P243" t="s">
        <v>59</v>
      </c>
      <c r="Q243">
        <v>332244</v>
      </c>
      <c r="R243" t="s">
        <v>1608</v>
      </c>
      <c r="S243" t="s">
        <v>555</v>
      </c>
      <c r="T243">
        <v>9298975644</v>
      </c>
      <c r="U243" t="s">
        <v>34</v>
      </c>
      <c r="V243" t="s">
        <v>2474</v>
      </c>
      <c r="W243" s="1">
        <v>45135</v>
      </c>
    </row>
    <row r="244" spans="1:23" x14ac:dyDescent="0.25">
      <c r="A244" t="s">
        <v>1611</v>
      </c>
      <c r="B244" s="1">
        <v>45482</v>
      </c>
      <c r="C244" t="s">
        <v>1612</v>
      </c>
      <c r="D244" t="s">
        <v>544</v>
      </c>
      <c r="E244" t="s">
        <v>24</v>
      </c>
      <c r="F244">
        <v>22.89</v>
      </c>
      <c r="G244" t="s">
        <v>61</v>
      </c>
      <c r="H244">
        <v>76.970600000000005</v>
      </c>
      <c r="I244">
        <v>-529505.06999999995</v>
      </c>
      <c r="J244" t="s">
        <v>102</v>
      </c>
      <c r="K244">
        <v>8074167522</v>
      </c>
      <c r="L244" t="s">
        <v>150</v>
      </c>
      <c r="M244" t="s">
        <v>77</v>
      </c>
      <c r="N244" t="s">
        <v>136</v>
      </c>
      <c r="O244" t="s">
        <v>42</v>
      </c>
      <c r="P244" t="s">
        <v>153</v>
      </c>
      <c r="Q244">
        <v>851398</v>
      </c>
      <c r="R244">
        <v>4608660000000000</v>
      </c>
      <c r="S244" t="s">
        <v>1613</v>
      </c>
      <c r="T244">
        <v>5206609855</v>
      </c>
      <c r="U244" t="s">
        <v>34</v>
      </c>
      <c r="V244" t="s">
        <v>2477</v>
      </c>
      <c r="W244" s="1">
        <v>44898</v>
      </c>
    </row>
    <row r="245" spans="1:23" x14ac:dyDescent="0.25">
      <c r="A245" t="s">
        <v>1614</v>
      </c>
      <c r="B245" s="1">
        <v>45874</v>
      </c>
      <c r="C245" t="s">
        <v>1615</v>
      </c>
      <c r="D245" t="s">
        <v>265</v>
      </c>
      <c r="E245" t="s">
        <v>73</v>
      </c>
      <c r="F245">
        <v>56.27</v>
      </c>
      <c r="G245" t="s">
        <v>61</v>
      </c>
      <c r="H245">
        <v>78.030199999999994</v>
      </c>
      <c r="I245">
        <v>-2933940.97</v>
      </c>
      <c r="J245" t="s">
        <v>98</v>
      </c>
      <c r="K245">
        <v>111597435</v>
      </c>
      <c r="L245" t="s">
        <v>99</v>
      </c>
      <c r="M245" t="s">
        <v>147</v>
      </c>
      <c r="N245" t="s">
        <v>148</v>
      </c>
      <c r="O245" t="s">
        <v>30</v>
      </c>
      <c r="P245" t="s">
        <v>153</v>
      </c>
      <c r="Q245">
        <v>647487</v>
      </c>
      <c r="R245" t="s">
        <v>1616</v>
      </c>
      <c r="S245" t="s">
        <v>266</v>
      </c>
      <c r="T245">
        <v>5159797476</v>
      </c>
      <c r="U245" t="s">
        <v>34</v>
      </c>
      <c r="V245" t="s">
        <v>2476</v>
      </c>
      <c r="W245" s="1">
        <v>43892</v>
      </c>
    </row>
    <row r="246" spans="1:23" x14ac:dyDescent="0.25">
      <c r="A246" t="s">
        <v>1618</v>
      </c>
      <c r="B246" s="1">
        <v>45181</v>
      </c>
      <c r="C246" t="s">
        <v>1619</v>
      </c>
      <c r="D246" t="s">
        <v>287</v>
      </c>
      <c r="E246" t="s">
        <v>73</v>
      </c>
      <c r="F246">
        <v>322.52</v>
      </c>
      <c r="G246" t="s">
        <v>66</v>
      </c>
      <c r="H246">
        <v>1</v>
      </c>
      <c r="I246">
        <v>-160100.15</v>
      </c>
      <c r="J246" t="s">
        <v>96</v>
      </c>
      <c r="K246">
        <v>4343924695</v>
      </c>
      <c r="L246" t="s">
        <v>97</v>
      </c>
      <c r="M246" t="s">
        <v>121</v>
      </c>
      <c r="N246" t="s">
        <v>122</v>
      </c>
      <c r="O246" t="s">
        <v>100</v>
      </c>
      <c r="P246" t="s">
        <v>126</v>
      </c>
      <c r="Q246">
        <v>505227</v>
      </c>
      <c r="R246" t="s">
        <v>692</v>
      </c>
      <c r="S246" t="s">
        <v>1620</v>
      </c>
      <c r="T246">
        <v>6984728116</v>
      </c>
      <c r="U246" t="s">
        <v>34</v>
      </c>
      <c r="V246" t="s">
        <v>2474</v>
      </c>
      <c r="W246" s="1">
        <v>42979</v>
      </c>
    </row>
    <row r="247" spans="1:23" x14ac:dyDescent="0.25">
      <c r="A247" t="s">
        <v>1622</v>
      </c>
      <c r="B247" s="1">
        <v>45817</v>
      </c>
      <c r="C247" t="s">
        <v>1235</v>
      </c>
      <c r="D247" t="s">
        <v>436</v>
      </c>
      <c r="E247" t="s">
        <v>55</v>
      </c>
      <c r="F247">
        <v>27.01</v>
      </c>
      <c r="G247" t="s">
        <v>25</v>
      </c>
      <c r="H247">
        <v>80.506299999999996</v>
      </c>
      <c r="I247">
        <v>-2825479.51</v>
      </c>
      <c r="J247" t="s">
        <v>128</v>
      </c>
      <c r="K247">
        <v>6613467563</v>
      </c>
      <c r="L247" t="s">
        <v>129</v>
      </c>
      <c r="M247" t="s">
        <v>147</v>
      </c>
      <c r="N247" t="s">
        <v>148</v>
      </c>
      <c r="O247" t="s">
        <v>100</v>
      </c>
      <c r="P247" t="s">
        <v>126</v>
      </c>
      <c r="Q247">
        <v>129483</v>
      </c>
      <c r="R247" t="s">
        <v>1623</v>
      </c>
      <c r="S247" t="s">
        <v>973</v>
      </c>
      <c r="T247">
        <v>9709285545</v>
      </c>
      <c r="U247" t="s">
        <v>34</v>
      </c>
      <c r="V247" t="s">
        <v>2478</v>
      </c>
      <c r="W247" s="1">
        <v>45383</v>
      </c>
    </row>
    <row r="248" spans="1:23" x14ac:dyDescent="0.25">
      <c r="A248" t="s">
        <v>1628</v>
      </c>
      <c r="B248" s="1">
        <v>44995</v>
      </c>
      <c r="C248" t="s">
        <v>947</v>
      </c>
      <c r="D248" t="s">
        <v>482</v>
      </c>
      <c r="E248" t="s">
        <v>55</v>
      </c>
      <c r="F248">
        <v>10.75</v>
      </c>
      <c r="G248" t="s">
        <v>56</v>
      </c>
      <c r="H248">
        <v>18.685099999999998</v>
      </c>
      <c r="I248">
        <v>-164014.81</v>
      </c>
      <c r="J248" t="s">
        <v>91</v>
      </c>
      <c r="K248">
        <v>9317003253</v>
      </c>
      <c r="L248" t="s">
        <v>92</v>
      </c>
      <c r="M248" t="s">
        <v>28</v>
      </c>
      <c r="N248" t="s">
        <v>119</v>
      </c>
      <c r="O248" t="s">
        <v>79</v>
      </c>
      <c r="P248" t="s">
        <v>59</v>
      </c>
      <c r="Q248">
        <v>926291</v>
      </c>
      <c r="R248">
        <v>4927020000000000</v>
      </c>
      <c r="S248" t="s">
        <v>1629</v>
      </c>
      <c r="T248">
        <v>8254234276</v>
      </c>
      <c r="U248" t="s">
        <v>34</v>
      </c>
      <c r="V248" t="s">
        <v>2474</v>
      </c>
      <c r="W248" s="1">
        <v>44470</v>
      </c>
    </row>
    <row r="249" spans="1:23" x14ac:dyDescent="0.25">
      <c r="A249" t="s">
        <v>1631</v>
      </c>
      <c r="B249" s="1">
        <v>45360</v>
      </c>
      <c r="C249" t="s">
        <v>1632</v>
      </c>
      <c r="D249" t="s">
        <v>609</v>
      </c>
      <c r="E249" t="s">
        <v>24</v>
      </c>
      <c r="F249">
        <v>14.84</v>
      </c>
      <c r="G249" t="s">
        <v>56</v>
      </c>
      <c r="H249">
        <v>21.599599999999999</v>
      </c>
      <c r="I249">
        <v>-974666.47</v>
      </c>
      <c r="J249" t="s">
        <v>102</v>
      </c>
      <c r="K249">
        <v>2999366557</v>
      </c>
      <c r="L249" t="s">
        <v>150</v>
      </c>
      <c r="M249" t="s">
        <v>87</v>
      </c>
      <c r="N249" t="s">
        <v>151</v>
      </c>
      <c r="O249" t="s">
        <v>42</v>
      </c>
      <c r="P249" t="s">
        <v>43</v>
      </c>
      <c r="Q249">
        <v>708954</v>
      </c>
      <c r="R249" t="s">
        <v>1633</v>
      </c>
      <c r="S249" t="s">
        <v>1154</v>
      </c>
      <c r="T249">
        <v>9816297146</v>
      </c>
      <c r="U249" t="s">
        <v>34</v>
      </c>
      <c r="V249" t="s">
        <v>2478</v>
      </c>
      <c r="W249" s="1">
        <v>43715</v>
      </c>
    </row>
    <row r="250" spans="1:23" x14ac:dyDescent="0.25">
      <c r="A250" t="s">
        <v>1638</v>
      </c>
      <c r="B250" s="1">
        <v>45811</v>
      </c>
      <c r="C250" t="s">
        <v>1639</v>
      </c>
      <c r="D250" t="s">
        <v>810</v>
      </c>
      <c r="E250" t="s">
        <v>55</v>
      </c>
      <c r="F250">
        <v>172.41</v>
      </c>
      <c r="G250" t="s">
        <v>56</v>
      </c>
      <c r="H250">
        <v>21.462900000000001</v>
      </c>
      <c r="I250">
        <v>-1008874.54</v>
      </c>
      <c r="J250" t="s">
        <v>38</v>
      </c>
      <c r="K250">
        <v>1225457903</v>
      </c>
      <c r="L250" t="s">
        <v>39</v>
      </c>
      <c r="M250" t="s">
        <v>121</v>
      </c>
      <c r="N250" t="s">
        <v>213</v>
      </c>
      <c r="O250" t="s">
        <v>79</v>
      </c>
      <c r="P250" t="s">
        <v>53</v>
      </c>
      <c r="Q250">
        <v>184550</v>
      </c>
      <c r="R250">
        <v>4454830000000000</v>
      </c>
      <c r="S250" t="s">
        <v>966</v>
      </c>
      <c r="T250">
        <v>4145691742</v>
      </c>
      <c r="U250" t="s">
        <v>34</v>
      </c>
      <c r="V250" t="s">
        <v>2478</v>
      </c>
      <c r="W250" s="1">
        <v>44866</v>
      </c>
    </row>
    <row r="251" spans="1:23" x14ac:dyDescent="0.25">
      <c r="A251" t="s">
        <v>1640</v>
      </c>
      <c r="B251" s="1">
        <v>45970</v>
      </c>
      <c r="C251" t="s">
        <v>1641</v>
      </c>
      <c r="D251" t="s">
        <v>811</v>
      </c>
      <c r="E251" t="s">
        <v>24</v>
      </c>
      <c r="F251">
        <v>21.95</v>
      </c>
      <c r="G251" t="s">
        <v>66</v>
      </c>
      <c r="H251">
        <v>1</v>
      </c>
      <c r="I251">
        <v>-2237035.5299999998</v>
      </c>
      <c r="J251" t="s">
        <v>48</v>
      </c>
      <c r="K251">
        <v>789996344</v>
      </c>
      <c r="L251" t="s">
        <v>49</v>
      </c>
      <c r="M251" t="s">
        <v>87</v>
      </c>
      <c r="N251" t="s">
        <v>88</v>
      </c>
      <c r="O251" t="s">
        <v>70</v>
      </c>
      <c r="P251" t="s">
        <v>43</v>
      </c>
      <c r="Q251">
        <v>938769</v>
      </c>
      <c r="R251" t="s">
        <v>1642</v>
      </c>
      <c r="S251" t="s">
        <v>454</v>
      </c>
      <c r="T251">
        <v>-6188846141</v>
      </c>
      <c r="U251" t="s">
        <v>34</v>
      </c>
      <c r="V251" t="s">
        <v>2474</v>
      </c>
      <c r="W251" s="1">
        <v>44013</v>
      </c>
    </row>
    <row r="252" spans="1:23" x14ac:dyDescent="0.25">
      <c r="A252" t="s">
        <v>1643</v>
      </c>
      <c r="B252" s="1">
        <v>45452</v>
      </c>
      <c r="C252" t="s">
        <v>1644</v>
      </c>
      <c r="D252" t="s">
        <v>1097</v>
      </c>
      <c r="E252" t="s">
        <v>24</v>
      </c>
      <c r="F252">
        <v>66.84</v>
      </c>
      <c r="G252" t="s">
        <v>61</v>
      </c>
      <c r="H252">
        <v>78.565399999999997</v>
      </c>
      <c r="I252">
        <v>-2428109.58</v>
      </c>
      <c r="J252" t="s">
        <v>81</v>
      </c>
      <c r="K252">
        <v>2401269266</v>
      </c>
      <c r="L252" t="s">
        <v>82</v>
      </c>
      <c r="M252" t="s">
        <v>28</v>
      </c>
      <c r="N252" t="s">
        <v>29</v>
      </c>
      <c r="O252" t="s">
        <v>100</v>
      </c>
      <c r="P252" t="s">
        <v>31</v>
      </c>
      <c r="Q252">
        <v>321758</v>
      </c>
      <c r="R252" t="s">
        <v>1645</v>
      </c>
      <c r="S252" t="s">
        <v>1646</v>
      </c>
      <c r="T252">
        <v>5898404661</v>
      </c>
      <c r="U252" t="s">
        <v>34</v>
      </c>
      <c r="V252" t="s">
        <v>2475</v>
      </c>
      <c r="W252" s="1">
        <v>42522</v>
      </c>
    </row>
    <row r="253" spans="1:23" x14ac:dyDescent="0.25">
      <c r="A253" t="s">
        <v>1649</v>
      </c>
      <c r="B253" s="1">
        <v>45571</v>
      </c>
      <c r="C253" t="s">
        <v>866</v>
      </c>
      <c r="D253" t="s">
        <v>204</v>
      </c>
      <c r="E253" t="s">
        <v>24</v>
      </c>
      <c r="F253">
        <v>1110.68</v>
      </c>
      <c r="G253" t="s">
        <v>61</v>
      </c>
      <c r="H253">
        <v>76.430099999999996</v>
      </c>
      <c r="I253">
        <v>-2913875.04</v>
      </c>
      <c r="J253" t="s">
        <v>67</v>
      </c>
      <c r="K253">
        <v>5582636071</v>
      </c>
      <c r="L253" t="s">
        <v>178</v>
      </c>
      <c r="M253" t="s">
        <v>28</v>
      </c>
      <c r="N253" t="s">
        <v>29</v>
      </c>
      <c r="O253" t="s">
        <v>42</v>
      </c>
      <c r="P253" t="s">
        <v>153</v>
      </c>
      <c r="Q253">
        <v>829783</v>
      </c>
      <c r="R253" t="s">
        <v>1150</v>
      </c>
      <c r="S253" t="s">
        <v>589</v>
      </c>
      <c r="T253">
        <v>5572452463</v>
      </c>
      <c r="U253" t="s">
        <v>34</v>
      </c>
      <c r="V253" t="s">
        <v>2472</v>
      </c>
      <c r="W253" s="1">
        <v>2026</v>
      </c>
    </row>
    <row r="254" spans="1:23" x14ac:dyDescent="0.25">
      <c r="A254" t="s">
        <v>1650</v>
      </c>
      <c r="B254" s="1">
        <v>45478</v>
      </c>
      <c r="C254" t="s">
        <v>1651</v>
      </c>
      <c r="D254" t="s">
        <v>1652</v>
      </c>
      <c r="E254" t="s">
        <v>24</v>
      </c>
      <c r="F254">
        <v>92.58</v>
      </c>
      <c r="G254" t="s">
        <v>56</v>
      </c>
      <c r="H254">
        <v>19.2913</v>
      </c>
      <c r="I254">
        <v>-2901350.3</v>
      </c>
      <c r="J254" t="s">
        <v>81</v>
      </c>
      <c r="K254">
        <v>3284089939</v>
      </c>
      <c r="L254" t="s">
        <v>82</v>
      </c>
      <c r="M254" t="s">
        <v>50</v>
      </c>
      <c r="N254" t="s">
        <v>111</v>
      </c>
      <c r="O254" t="s">
        <v>52</v>
      </c>
      <c r="P254" t="s">
        <v>53</v>
      </c>
      <c r="Q254">
        <v>964610</v>
      </c>
      <c r="R254" t="s">
        <v>635</v>
      </c>
      <c r="S254" t="s">
        <v>1653</v>
      </c>
      <c r="T254">
        <v>6827573859</v>
      </c>
      <c r="U254" t="s">
        <v>34</v>
      </c>
      <c r="V254" t="s">
        <v>2472</v>
      </c>
      <c r="W254" s="1">
        <v>42217</v>
      </c>
    </row>
    <row r="255" spans="1:23" x14ac:dyDescent="0.25">
      <c r="A255" t="s">
        <v>1656</v>
      </c>
      <c r="B255" s="1">
        <v>45601</v>
      </c>
      <c r="C255" t="s">
        <v>1657</v>
      </c>
      <c r="D255" t="s">
        <v>643</v>
      </c>
      <c r="E255" t="s">
        <v>24</v>
      </c>
      <c r="F255">
        <v>62.9</v>
      </c>
      <c r="G255" t="s">
        <v>782</v>
      </c>
      <c r="H255">
        <v>107.5284</v>
      </c>
      <c r="I255">
        <v>-1557780.18</v>
      </c>
      <c r="J255" t="s">
        <v>74</v>
      </c>
      <c r="K255">
        <v>-9078732794</v>
      </c>
      <c r="L255" t="s">
        <v>105</v>
      </c>
      <c r="M255" t="s">
        <v>40</v>
      </c>
      <c r="N255" t="s">
        <v>106</v>
      </c>
      <c r="O255" t="s">
        <v>70</v>
      </c>
      <c r="P255" t="s">
        <v>93</v>
      </c>
      <c r="Q255">
        <v>887964</v>
      </c>
      <c r="R255" t="s">
        <v>430</v>
      </c>
      <c r="S255" t="s">
        <v>1246</v>
      </c>
      <c r="T255">
        <v>961958249</v>
      </c>
      <c r="U255" t="s">
        <v>34</v>
      </c>
      <c r="V255" t="s">
        <v>2478</v>
      </c>
      <c r="W255" s="1">
        <v>2017</v>
      </c>
    </row>
    <row r="256" spans="1:23" x14ac:dyDescent="0.25">
      <c r="A256" t="s">
        <v>1658</v>
      </c>
      <c r="B256" s="1">
        <v>45906</v>
      </c>
      <c r="C256" t="s">
        <v>1659</v>
      </c>
      <c r="D256" t="s">
        <v>60</v>
      </c>
      <c r="E256" t="s">
        <v>24</v>
      </c>
      <c r="F256">
        <v>7.32</v>
      </c>
      <c r="G256" t="s">
        <v>47</v>
      </c>
      <c r="H256">
        <v>95.482699999999994</v>
      </c>
      <c r="I256">
        <v>-1935836.62</v>
      </c>
      <c r="J256" t="s">
        <v>81</v>
      </c>
      <c r="K256">
        <v>9463190835</v>
      </c>
      <c r="L256" t="s">
        <v>82</v>
      </c>
      <c r="M256" t="s">
        <v>40</v>
      </c>
      <c r="N256" t="s">
        <v>106</v>
      </c>
      <c r="O256" t="s">
        <v>79</v>
      </c>
      <c r="P256" t="s">
        <v>75</v>
      </c>
      <c r="Q256">
        <v>267200</v>
      </c>
      <c r="R256" t="s">
        <v>1660</v>
      </c>
      <c r="S256" t="s">
        <v>64</v>
      </c>
      <c r="T256">
        <v>921424350</v>
      </c>
      <c r="U256" t="s">
        <v>34</v>
      </c>
      <c r="V256" t="s">
        <v>2474</v>
      </c>
      <c r="W256" s="1">
        <v>44989</v>
      </c>
    </row>
    <row r="257" spans="1:23" x14ac:dyDescent="0.25">
      <c r="A257" t="s">
        <v>1661</v>
      </c>
      <c r="B257" s="1">
        <v>45413</v>
      </c>
      <c r="C257" t="s">
        <v>1662</v>
      </c>
      <c r="D257" t="s">
        <v>847</v>
      </c>
      <c r="E257" t="s">
        <v>73</v>
      </c>
      <c r="F257">
        <v>3.93</v>
      </c>
      <c r="G257" t="s">
        <v>66</v>
      </c>
      <c r="H257">
        <v>1</v>
      </c>
      <c r="I257">
        <v>-1284452.44</v>
      </c>
      <c r="J257" t="s">
        <v>102</v>
      </c>
      <c r="K257">
        <v>8446428961</v>
      </c>
      <c r="L257" t="s">
        <v>150</v>
      </c>
      <c r="M257" t="s">
        <v>40</v>
      </c>
      <c r="N257" t="s">
        <v>139</v>
      </c>
      <c r="O257" t="s">
        <v>79</v>
      </c>
      <c r="P257" t="s">
        <v>93</v>
      </c>
      <c r="Q257">
        <v>548417</v>
      </c>
      <c r="R257" t="s">
        <v>1663</v>
      </c>
      <c r="S257" t="s">
        <v>1327</v>
      </c>
      <c r="T257">
        <v>9298151856</v>
      </c>
      <c r="U257" t="s">
        <v>34</v>
      </c>
      <c r="V257" t="s">
        <v>2478</v>
      </c>
      <c r="W257" s="1">
        <v>2021</v>
      </c>
    </row>
    <row r="258" spans="1:23" x14ac:dyDescent="0.25">
      <c r="A258" t="s">
        <v>1666</v>
      </c>
      <c r="B258" s="1">
        <v>45510</v>
      </c>
      <c r="C258" t="s">
        <v>1667</v>
      </c>
      <c r="D258" t="s">
        <v>332</v>
      </c>
      <c r="E258" t="s">
        <v>24</v>
      </c>
      <c r="F258">
        <v>89.47</v>
      </c>
      <c r="G258" t="s">
        <v>61</v>
      </c>
      <c r="H258">
        <v>81.775099999999995</v>
      </c>
      <c r="I258">
        <v>-2118873.13</v>
      </c>
      <c r="J258" t="s">
        <v>48</v>
      </c>
      <c r="K258">
        <v>4843457168</v>
      </c>
      <c r="L258" t="s">
        <v>49</v>
      </c>
      <c r="M258" t="s">
        <v>147</v>
      </c>
      <c r="N258" t="s">
        <v>148</v>
      </c>
      <c r="O258" t="s">
        <v>100</v>
      </c>
      <c r="P258" t="s">
        <v>153</v>
      </c>
      <c r="Q258">
        <v>243891</v>
      </c>
      <c r="R258" t="s">
        <v>1065</v>
      </c>
      <c r="S258" t="s">
        <v>642</v>
      </c>
      <c r="T258">
        <v>5194651946</v>
      </c>
      <c r="U258" t="s">
        <v>34</v>
      </c>
      <c r="V258" t="s">
        <v>2472</v>
      </c>
      <c r="W258" s="1">
        <v>45940</v>
      </c>
    </row>
    <row r="259" spans="1:23" x14ac:dyDescent="0.25">
      <c r="A259" t="s">
        <v>1668</v>
      </c>
      <c r="B259" s="1">
        <v>45454</v>
      </c>
      <c r="C259" t="s">
        <v>1669</v>
      </c>
      <c r="D259" t="s">
        <v>195</v>
      </c>
      <c r="E259" t="s">
        <v>55</v>
      </c>
      <c r="F259">
        <v>29.75</v>
      </c>
      <c r="G259" t="s">
        <v>66</v>
      </c>
      <c r="H259">
        <v>1</v>
      </c>
      <c r="I259">
        <v>-1676456.08</v>
      </c>
      <c r="J259" t="s">
        <v>102</v>
      </c>
      <c r="K259">
        <v>4992645225</v>
      </c>
      <c r="L259" t="s">
        <v>150</v>
      </c>
      <c r="M259" t="s">
        <v>28</v>
      </c>
      <c r="N259" t="s">
        <v>119</v>
      </c>
      <c r="O259" t="s">
        <v>30</v>
      </c>
      <c r="P259" t="s">
        <v>43</v>
      </c>
      <c r="Q259">
        <v>660522</v>
      </c>
      <c r="R259" t="s">
        <v>1670</v>
      </c>
      <c r="S259" t="s">
        <v>1536</v>
      </c>
      <c r="T259">
        <v>3794135698</v>
      </c>
      <c r="U259" t="s">
        <v>34</v>
      </c>
      <c r="V259" t="s">
        <v>2476</v>
      </c>
      <c r="W259" s="1">
        <v>43952</v>
      </c>
    </row>
    <row r="260" spans="1:23" x14ac:dyDescent="0.25">
      <c r="A260" t="s">
        <v>1672</v>
      </c>
      <c r="B260" s="1">
        <v>45694</v>
      </c>
      <c r="C260" t="s">
        <v>1124</v>
      </c>
      <c r="D260" t="s">
        <v>157</v>
      </c>
      <c r="E260" t="s">
        <v>24</v>
      </c>
      <c r="F260">
        <v>12.52</v>
      </c>
      <c r="G260" t="s">
        <v>66</v>
      </c>
      <c r="H260">
        <v>1</v>
      </c>
      <c r="I260">
        <v>-1214752.53</v>
      </c>
      <c r="J260" t="s">
        <v>116</v>
      </c>
      <c r="K260">
        <v>-4929676524</v>
      </c>
      <c r="L260" t="s">
        <v>134</v>
      </c>
      <c r="M260" t="s">
        <v>147</v>
      </c>
      <c r="N260" t="s">
        <v>148</v>
      </c>
      <c r="O260" t="s">
        <v>70</v>
      </c>
      <c r="P260" t="s">
        <v>31</v>
      </c>
      <c r="Q260">
        <v>633670</v>
      </c>
      <c r="R260" t="s">
        <v>853</v>
      </c>
      <c r="S260" t="s">
        <v>1673</v>
      </c>
      <c r="T260">
        <v>2311092654</v>
      </c>
      <c r="U260" t="s">
        <v>34</v>
      </c>
      <c r="V260" t="s">
        <v>2478</v>
      </c>
      <c r="W260" s="1">
        <v>42217</v>
      </c>
    </row>
    <row r="261" spans="1:23" x14ac:dyDescent="0.25">
      <c r="A261" t="s">
        <v>1674</v>
      </c>
      <c r="B261" s="1">
        <v>45568</v>
      </c>
      <c r="C261" t="s">
        <v>1675</v>
      </c>
      <c r="D261" t="s">
        <v>113</v>
      </c>
      <c r="E261" t="s">
        <v>73</v>
      </c>
      <c r="F261">
        <v>5.03</v>
      </c>
      <c r="G261" t="s">
        <v>66</v>
      </c>
      <c r="H261">
        <v>1</v>
      </c>
      <c r="I261">
        <v>-2238370.14</v>
      </c>
      <c r="J261" t="s">
        <v>98</v>
      </c>
      <c r="K261">
        <v>6112311480</v>
      </c>
      <c r="L261" t="s">
        <v>99</v>
      </c>
      <c r="M261" t="s">
        <v>57</v>
      </c>
      <c r="N261" t="s">
        <v>58</v>
      </c>
      <c r="O261" t="s">
        <v>100</v>
      </c>
      <c r="P261" t="s">
        <v>75</v>
      </c>
      <c r="Q261">
        <v>424690</v>
      </c>
      <c r="R261" t="s">
        <v>1676</v>
      </c>
      <c r="S261" t="s">
        <v>1677</v>
      </c>
      <c r="T261">
        <v>-6384871252</v>
      </c>
      <c r="U261" t="s">
        <v>34</v>
      </c>
      <c r="V261" t="s">
        <v>2477</v>
      </c>
      <c r="W261" s="1">
        <v>2017</v>
      </c>
    </row>
    <row r="262" spans="1:23" x14ac:dyDescent="0.25">
      <c r="A262" t="s">
        <v>1678</v>
      </c>
      <c r="B262" s="1">
        <v>45449</v>
      </c>
      <c r="C262" t="s">
        <v>1679</v>
      </c>
      <c r="D262" t="s">
        <v>234</v>
      </c>
      <c r="E262" t="s">
        <v>55</v>
      </c>
      <c r="F262">
        <v>8.27</v>
      </c>
      <c r="G262" t="s">
        <v>61</v>
      </c>
      <c r="H262">
        <v>75.539100000000005</v>
      </c>
      <c r="I262">
        <v>-2462439.77</v>
      </c>
      <c r="J262" t="s">
        <v>128</v>
      </c>
      <c r="K262">
        <v>411208394</v>
      </c>
      <c r="L262" t="s">
        <v>129</v>
      </c>
      <c r="M262" t="s">
        <v>28</v>
      </c>
      <c r="N262" t="s">
        <v>29</v>
      </c>
      <c r="O262" t="s">
        <v>30</v>
      </c>
      <c r="P262" t="s">
        <v>75</v>
      </c>
      <c r="Q262">
        <v>432959</v>
      </c>
      <c r="R262">
        <v>4911350000000000</v>
      </c>
      <c r="S262" t="s">
        <v>236</v>
      </c>
      <c r="T262">
        <v>3017527637</v>
      </c>
      <c r="U262" t="s">
        <v>34</v>
      </c>
      <c r="V262" t="s">
        <v>2474</v>
      </c>
      <c r="W262" s="1">
        <v>42588</v>
      </c>
    </row>
    <row r="263" spans="1:23" x14ac:dyDescent="0.25">
      <c r="A263" t="s">
        <v>1680</v>
      </c>
      <c r="B263" s="1">
        <v>45840</v>
      </c>
      <c r="C263" t="s">
        <v>1681</v>
      </c>
      <c r="D263" t="s">
        <v>182</v>
      </c>
      <c r="E263" t="s">
        <v>24</v>
      </c>
      <c r="F263">
        <v>64.349999999999994</v>
      </c>
      <c r="G263" t="s">
        <v>61</v>
      </c>
      <c r="H263">
        <v>79.467699999999994</v>
      </c>
      <c r="I263">
        <v>-2773185.71</v>
      </c>
      <c r="J263" t="s">
        <v>62</v>
      </c>
      <c r="K263">
        <v>-1720168588</v>
      </c>
      <c r="L263" t="s">
        <v>131</v>
      </c>
      <c r="M263" t="s">
        <v>83</v>
      </c>
      <c r="N263" t="s">
        <v>84</v>
      </c>
      <c r="O263" t="s">
        <v>100</v>
      </c>
      <c r="P263" t="s">
        <v>59</v>
      </c>
      <c r="Q263">
        <v>627475</v>
      </c>
      <c r="R263" t="s">
        <v>848</v>
      </c>
      <c r="S263" t="s">
        <v>1682</v>
      </c>
      <c r="T263">
        <v>7270768327</v>
      </c>
      <c r="U263" t="s">
        <v>34</v>
      </c>
      <c r="V263" t="s">
        <v>2474</v>
      </c>
      <c r="W263" s="1">
        <v>45717</v>
      </c>
    </row>
    <row r="264" spans="1:23" x14ac:dyDescent="0.25">
      <c r="A264" t="s">
        <v>1684</v>
      </c>
      <c r="B264" s="1">
        <v>45664</v>
      </c>
      <c r="C264" t="s">
        <v>1685</v>
      </c>
      <c r="D264" t="s">
        <v>994</v>
      </c>
      <c r="E264" t="s">
        <v>24</v>
      </c>
      <c r="F264">
        <v>9.3800000000000008</v>
      </c>
      <c r="G264" t="s">
        <v>47</v>
      </c>
      <c r="H264">
        <v>103.48399999999999</v>
      </c>
      <c r="I264">
        <v>-2826502.16</v>
      </c>
      <c r="J264" t="s">
        <v>98</v>
      </c>
      <c r="K264">
        <v>6255477210</v>
      </c>
      <c r="L264" t="s">
        <v>99</v>
      </c>
      <c r="M264" t="s">
        <v>68</v>
      </c>
      <c r="N264" t="s">
        <v>277</v>
      </c>
      <c r="O264" t="s">
        <v>100</v>
      </c>
      <c r="P264" t="s">
        <v>107</v>
      </c>
      <c r="Q264">
        <v>666804</v>
      </c>
      <c r="R264" t="s">
        <v>1686</v>
      </c>
      <c r="S264" t="s">
        <v>1162</v>
      </c>
      <c r="T264">
        <v>2821935176</v>
      </c>
      <c r="U264" t="s">
        <v>34</v>
      </c>
      <c r="V264" t="s">
        <v>2475</v>
      </c>
      <c r="W264" s="1">
        <v>42194</v>
      </c>
    </row>
    <row r="265" spans="1:23" x14ac:dyDescent="0.25">
      <c r="A265" t="s">
        <v>1689</v>
      </c>
      <c r="B265" s="1">
        <v>45516</v>
      </c>
      <c r="C265" t="s">
        <v>1690</v>
      </c>
      <c r="D265" t="s">
        <v>303</v>
      </c>
      <c r="E265" t="s">
        <v>24</v>
      </c>
      <c r="F265">
        <v>9.08</v>
      </c>
      <c r="G265" t="s">
        <v>66</v>
      </c>
      <c r="H265">
        <v>1</v>
      </c>
      <c r="I265">
        <v>-2680738.7599999998</v>
      </c>
      <c r="J265" t="s">
        <v>38</v>
      </c>
      <c r="K265">
        <v>9889057930</v>
      </c>
      <c r="L265" t="s">
        <v>39</v>
      </c>
      <c r="M265" t="s">
        <v>50</v>
      </c>
      <c r="N265" t="s">
        <v>51</v>
      </c>
      <c r="O265" t="s">
        <v>42</v>
      </c>
      <c r="P265" t="s">
        <v>71</v>
      </c>
      <c r="Q265">
        <v>408051</v>
      </c>
      <c r="R265" t="s">
        <v>472</v>
      </c>
      <c r="S265" t="s">
        <v>465</v>
      </c>
      <c r="T265">
        <v>2971404848</v>
      </c>
      <c r="U265" t="s">
        <v>34</v>
      </c>
      <c r="V265" t="s">
        <v>2476</v>
      </c>
      <c r="W265" s="1">
        <v>44013</v>
      </c>
    </row>
    <row r="266" spans="1:23" x14ac:dyDescent="0.25">
      <c r="A266" t="s">
        <v>1691</v>
      </c>
      <c r="B266" s="1">
        <v>44936</v>
      </c>
      <c r="C266" t="s">
        <v>1692</v>
      </c>
      <c r="D266" t="s">
        <v>847</v>
      </c>
      <c r="E266" t="s">
        <v>73</v>
      </c>
      <c r="F266">
        <v>26.25</v>
      </c>
      <c r="G266" t="s">
        <v>47</v>
      </c>
      <c r="H266">
        <v>98.241900000000001</v>
      </c>
      <c r="I266">
        <v>-987515.58</v>
      </c>
      <c r="J266" t="s">
        <v>38</v>
      </c>
      <c r="K266">
        <v>8531312629</v>
      </c>
      <c r="L266" t="s">
        <v>39</v>
      </c>
      <c r="M266" t="s">
        <v>57</v>
      </c>
      <c r="N266" t="s">
        <v>209</v>
      </c>
      <c r="O266" t="s">
        <v>70</v>
      </c>
      <c r="P266" t="s">
        <v>71</v>
      </c>
      <c r="Q266">
        <v>956800</v>
      </c>
      <c r="R266" t="s">
        <v>1693</v>
      </c>
      <c r="S266" t="s">
        <v>855</v>
      </c>
      <c r="T266">
        <v>676286112</v>
      </c>
      <c r="U266" t="s">
        <v>34</v>
      </c>
      <c r="V266" t="s">
        <v>2478</v>
      </c>
      <c r="W266" s="1">
        <v>42430</v>
      </c>
    </row>
    <row r="267" spans="1:23" x14ac:dyDescent="0.25">
      <c r="A267" t="s">
        <v>1694</v>
      </c>
      <c r="B267" s="1">
        <v>45628</v>
      </c>
      <c r="C267" t="s">
        <v>1695</v>
      </c>
      <c r="D267" t="s">
        <v>1051</v>
      </c>
      <c r="E267" t="s">
        <v>24</v>
      </c>
      <c r="F267">
        <v>54.48</v>
      </c>
      <c r="G267" t="s">
        <v>47</v>
      </c>
      <c r="H267">
        <v>103.7979</v>
      </c>
      <c r="I267">
        <v>-1604999.76</v>
      </c>
      <c r="J267" t="s">
        <v>86</v>
      </c>
      <c r="K267">
        <v>1600459527</v>
      </c>
      <c r="L267" t="s">
        <v>181</v>
      </c>
      <c r="M267" t="s">
        <v>50</v>
      </c>
      <c r="N267" t="s">
        <v>51</v>
      </c>
      <c r="O267" t="s">
        <v>52</v>
      </c>
      <c r="P267" t="s">
        <v>53</v>
      </c>
      <c r="Q267">
        <v>266183</v>
      </c>
      <c r="R267" t="s">
        <v>1696</v>
      </c>
      <c r="S267" t="s">
        <v>1697</v>
      </c>
      <c r="T267">
        <v>7322000388</v>
      </c>
      <c r="U267" t="s">
        <v>34</v>
      </c>
      <c r="V267" t="s">
        <v>2475</v>
      </c>
      <c r="W267" s="1">
        <v>2015</v>
      </c>
    </row>
    <row r="268" spans="1:23" x14ac:dyDescent="0.25">
      <c r="A268" t="s">
        <v>1698</v>
      </c>
      <c r="B268" s="1">
        <v>45606</v>
      </c>
      <c r="C268" t="s">
        <v>1699</v>
      </c>
      <c r="D268" t="s">
        <v>582</v>
      </c>
      <c r="E268" t="s">
        <v>24</v>
      </c>
      <c r="F268">
        <v>10.55</v>
      </c>
      <c r="G268" t="s">
        <v>56</v>
      </c>
      <c r="H268">
        <v>19.615200000000002</v>
      </c>
      <c r="I268">
        <v>-1008903.06</v>
      </c>
      <c r="J268" t="s">
        <v>67</v>
      </c>
      <c r="K268">
        <v>-9947318692</v>
      </c>
      <c r="L268" t="s">
        <v>178</v>
      </c>
      <c r="M268" t="s">
        <v>57</v>
      </c>
      <c r="N268" t="s">
        <v>63</v>
      </c>
      <c r="O268" t="s">
        <v>70</v>
      </c>
      <c r="P268" t="s">
        <v>71</v>
      </c>
      <c r="Q268">
        <v>388095</v>
      </c>
      <c r="R268" t="s">
        <v>1700</v>
      </c>
      <c r="S268" t="s">
        <v>1193</v>
      </c>
      <c r="T268">
        <v>2337347545</v>
      </c>
      <c r="U268" t="s">
        <v>34</v>
      </c>
      <c r="V268" t="s">
        <v>2473</v>
      </c>
      <c r="W268" s="1">
        <v>44044</v>
      </c>
    </row>
    <row r="269" spans="1:23" x14ac:dyDescent="0.25">
      <c r="A269" t="s">
        <v>1701</v>
      </c>
      <c r="B269" s="1">
        <v>45511</v>
      </c>
      <c r="C269" t="s">
        <v>1702</v>
      </c>
      <c r="D269" t="s">
        <v>610</v>
      </c>
      <c r="E269" t="s">
        <v>73</v>
      </c>
      <c r="F269">
        <v>4.96</v>
      </c>
      <c r="G269" t="s">
        <v>61</v>
      </c>
      <c r="H269">
        <v>81.624700000000004</v>
      </c>
      <c r="I269">
        <v>-2677906.5499999998</v>
      </c>
      <c r="J269" t="s">
        <v>102</v>
      </c>
      <c r="K269">
        <v>-5064074063</v>
      </c>
      <c r="L269" t="s">
        <v>150</v>
      </c>
      <c r="M269" t="s">
        <v>28</v>
      </c>
      <c r="N269" t="s">
        <v>29</v>
      </c>
      <c r="O269" t="s">
        <v>52</v>
      </c>
      <c r="P269" t="s">
        <v>107</v>
      </c>
      <c r="Q269">
        <v>940877</v>
      </c>
      <c r="R269" t="s">
        <v>1703</v>
      </c>
      <c r="S269" t="s">
        <v>1048</v>
      </c>
      <c r="T269">
        <v>551678852</v>
      </c>
      <c r="U269" t="s">
        <v>34</v>
      </c>
      <c r="V269" t="s">
        <v>2472</v>
      </c>
      <c r="W269" s="1">
        <v>42614</v>
      </c>
    </row>
    <row r="270" spans="1:23" x14ac:dyDescent="0.25">
      <c r="A270" t="s">
        <v>1704</v>
      </c>
      <c r="B270" s="1">
        <v>45543</v>
      </c>
      <c r="C270" t="s">
        <v>1705</v>
      </c>
      <c r="D270" t="s">
        <v>710</v>
      </c>
      <c r="E270" t="s">
        <v>55</v>
      </c>
      <c r="F270">
        <v>81.09</v>
      </c>
      <c r="G270" t="s">
        <v>66</v>
      </c>
      <c r="H270">
        <v>1</v>
      </c>
      <c r="I270">
        <v>-529235.68000000005</v>
      </c>
      <c r="J270" t="s">
        <v>67</v>
      </c>
      <c r="K270">
        <v>4457944940</v>
      </c>
      <c r="L270" t="s">
        <v>178</v>
      </c>
      <c r="M270" t="s">
        <v>40</v>
      </c>
      <c r="N270" t="s">
        <v>106</v>
      </c>
      <c r="O270" t="s">
        <v>100</v>
      </c>
      <c r="P270" t="s">
        <v>93</v>
      </c>
      <c r="Q270">
        <v>817848</v>
      </c>
      <c r="R270" t="s">
        <v>1358</v>
      </c>
      <c r="S270" t="s">
        <v>938</v>
      </c>
      <c r="T270">
        <v>-9927180498</v>
      </c>
      <c r="U270" t="s">
        <v>34</v>
      </c>
      <c r="V270" t="s">
        <v>2478</v>
      </c>
      <c r="W270" s="1">
        <v>44445</v>
      </c>
    </row>
    <row r="271" spans="1:23" x14ac:dyDescent="0.25">
      <c r="A271" t="s">
        <v>1707</v>
      </c>
      <c r="B271" s="1">
        <v>45909</v>
      </c>
      <c r="C271" t="s">
        <v>1708</v>
      </c>
      <c r="D271" t="s">
        <v>161</v>
      </c>
      <c r="E271" t="s">
        <v>73</v>
      </c>
      <c r="F271">
        <v>5.86</v>
      </c>
      <c r="G271" t="s">
        <v>56</v>
      </c>
      <c r="H271">
        <v>19.456600000000002</v>
      </c>
      <c r="I271">
        <v>-2481801.96</v>
      </c>
      <c r="J271" t="s">
        <v>81</v>
      </c>
      <c r="K271">
        <v>1991612987</v>
      </c>
      <c r="L271" t="s">
        <v>82</v>
      </c>
      <c r="M271" t="s">
        <v>40</v>
      </c>
      <c r="N271" t="s">
        <v>106</v>
      </c>
      <c r="O271" t="s">
        <v>30</v>
      </c>
      <c r="P271" t="s">
        <v>153</v>
      </c>
      <c r="Q271">
        <v>514925</v>
      </c>
      <c r="R271" t="s">
        <v>1709</v>
      </c>
      <c r="S271" t="s">
        <v>1366</v>
      </c>
      <c r="T271">
        <v>9208896377</v>
      </c>
      <c r="U271" t="s">
        <v>34</v>
      </c>
      <c r="V271" t="s">
        <v>2477</v>
      </c>
      <c r="W271" s="1">
        <v>2015</v>
      </c>
    </row>
    <row r="272" spans="1:23" x14ac:dyDescent="0.25">
      <c r="A272" t="s">
        <v>1710</v>
      </c>
      <c r="B272" s="1">
        <v>45748</v>
      </c>
      <c r="C272" t="s">
        <v>1711</v>
      </c>
      <c r="D272" t="s">
        <v>65</v>
      </c>
      <c r="E272" t="s">
        <v>24</v>
      </c>
      <c r="F272">
        <v>28.53</v>
      </c>
      <c r="G272" t="s">
        <v>47</v>
      </c>
      <c r="H272">
        <v>105.97539999999999</v>
      </c>
      <c r="I272">
        <v>-2678308.92</v>
      </c>
      <c r="J272" t="s">
        <v>86</v>
      </c>
      <c r="K272">
        <v>2361914468</v>
      </c>
      <c r="L272" t="s">
        <v>181</v>
      </c>
      <c r="M272" t="s">
        <v>77</v>
      </c>
      <c r="N272" t="s">
        <v>307</v>
      </c>
      <c r="O272" t="s">
        <v>70</v>
      </c>
      <c r="P272" t="s">
        <v>43</v>
      </c>
      <c r="Q272">
        <v>277519</v>
      </c>
      <c r="R272" t="s">
        <v>1712</v>
      </c>
      <c r="S272" t="s">
        <v>908</v>
      </c>
      <c r="T272">
        <v>-1098095612</v>
      </c>
      <c r="U272" t="s">
        <v>34</v>
      </c>
      <c r="V272" t="s">
        <v>2474</v>
      </c>
      <c r="W272" s="1">
        <v>45266</v>
      </c>
    </row>
    <row r="273" spans="1:23" x14ac:dyDescent="0.25">
      <c r="A273" t="s">
        <v>1713</v>
      </c>
      <c r="B273" s="1">
        <v>45659</v>
      </c>
      <c r="C273" t="s">
        <v>1458</v>
      </c>
      <c r="D273" t="s">
        <v>154</v>
      </c>
      <c r="E273" t="s">
        <v>55</v>
      </c>
      <c r="F273">
        <v>38.229999999999997</v>
      </c>
      <c r="G273" t="s">
        <v>56</v>
      </c>
      <c r="H273">
        <v>21.088100000000001</v>
      </c>
      <c r="I273">
        <v>-974275.92</v>
      </c>
      <c r="J273" t="s">
        <v>86</v>
      </c>
      <c r="K273">
        <v>7114189189</v>
      </c>
      <c r="L273" t="s">
        <v>181</v>
      </c>
      <c r="M273" t="s">
        <v>77</v>
      </c>
      <c r="N273" t="s">
        <v>78</v>
      </c>
      <c r="O273" t="s">
        <v>79</v>
      </c>
      <c r="P273" t="s">
        <v>31</v>
      </c>
      <c r="Q273">
        <v>410632</v>
      </c>
      <c r="R273" t="s">
        <v>1714</v>
      </c>
      <c r="S273" t="s">
        <v>156</v>
      </c>
      <c r="T273">
        <v>5693132036</v>
      </c>
      <c r="U273" t="s">
        <v>34</v>
      </c>
      <c r="V273" t="s">
        <v>2474</v>
      </c>
      <c r="W273" s="1">
        <v>42401</v>
      </c>
    </row>
    <row r="274" spans="1:23" x14ac:dyDescent="0.25">
      <c r="A274" t="s">
        <v>1715</v>
      </c>
      <c r="B274" s="1">
        <v>45303</v>
      </c>
      <c r="C274" t="s">
        <v>1716</v>
      </c>
      <c r="D274" t="s">
        <v>814</v>
      </c>
      <c r="E274" t="s">
        <v>55</v>
      </c>
      <c r="F274">
        <v>93.19</v>
      </c>
      <c r="G274" t="s">
        <v>61</v>
      </c>
      <c r="H274">
        <v>81.026899999999998</v>
      </c>
      <c r="I274">
        <v>-2230490.27</v>
      </c>
      <c r="J274" t="s">
        <v>67</v>
      </c>
      <c r="K274">
        <v>5159797476</v>
      </c>
      <c r="L274" t="s">
        <v>178</v>
      </c>
      <c r="M274" t="s">
        <v>40</v>
      </c>
      <c r="N274" t="s">
        <v>106</v>
      </c>
      <c r="O274" t="s">
        <v>79</v>
      </c>
      <c r="P274" t="s">
        <v>153</v>
      </c>
      <c r="Q274">
        <v>314919</v>
      </c>
      <c r="R274" t="s">
        <v>1717</v>
      </c>
      <c r="S274" t="s">
        <v>1609</v>
      </c>
      <c r="T274">
        <v>1550397792</v>
      </c>
      <c r="U274" t="s">
        <v>34</v>
      </c>
      <c r="V274" t="s">
        <v>2473</v>
      </c>
      <c r="W274" s="1">
        <v>44204</v>
      </c>
    </row>
    <row r="275" spans="1:23" x14ac:dyDescent="0.25">
      <c r="A275" t="s">
        <v>1721</v>
      </c>
      <c r="B275" s="1">
        <v>45356</v>
      </c>
      <c r="C275" t="s">
        <v>674</v>
      </c>
      <c r="D275" t="s">
        <v>877</v>
      </c>
      <c r="E275" t="s">
        <v>24</v>
      </c>
      <c r="F275">
        <v>17.8</v>
      </c>
      <c r="G275" t="s">
        <v>56</v>
      </c>
      <c r="H275">
        <v>18.943999999999999</v>
      </c>
      <c r="I275">
        <v>-480372.29</v>
      </c>
      <c r="J275" t="s">
        <v>81</v>
      </c>
      <c r="K275">
        <v>241827155</v>
      </c>
      <c r="L275" t="s">
        <v>82</v>
      </c>
      <c r="M275" t="s">
        <v>77</v>
      </c>
      <c r="N275" t="s">
        <v>307</v>
      </c>
      <c r="O275" t="s">
        <v>30</v>
      </c>
      <c r="P275" t="s">
        <v>93</v>
      </c>
      <c r="Q275">
        <v>298</v>
      </c>
      <c r="R275" t="s">
        <v>1722</v>
      </c>
      <c r="S275" t="s">
        <v>1377</v>
      </c>
      <c r="T275">
        <v>-1952508275</v>
      </c>
      <c r="U275" t="s">
        <v>34</v>
      </c>
      <c r="V275" t="s">
        <v>2477</v>
      </c>
      <c r="W275" s="1">
        <v>44374</v>
      </c>
    </row>
    <row r="276" spans="1:23" x14ac:dyDescent="0.25">
      <c r="A276" t="s">
        <v>1723</v>
      </c>
      <c r="B276" s="1">
        <v>45446</v>
      </c>
      <c r="C276" t="s">
        <v>1493</v>
      </c>
      <c r="D276" t="s">
        <v>949</v>
      </c>
      <c r="E276" t="s">
        <v>73</v>
      </c>
      <c r="F276">
        <v>28.61</v>
      </c>
      <c r="G276" t="s">
        <v>56</v>
      </c>
      <c r="H276">
        <v>20.235399999999998</v>
      </c>
      <c r="I276">
        <v>-987553.65</v>
      </c>
      <c r="J276" t="s">
        <v>38</v>
      </c>
      <c r="K276">
        <v>6505500244</v>
      </c>
      <c r="L276" t="s">
        <v>39</v>
      </c>
      <c r="M276" t="s">
        <v>57</v>
      </c>
      <c r="N276" t="s">
        <v>209</v>
      </c>
      <c r="O276" t="s">
        <v>30</v>
      </c>
      <c r="P276" t="s">
        <v>43</v>
      </c>
      <c r="Q276">
        <v>492121</v>
      </c>
      <c r="R276" t="s">
        <v>1577</v>
      </c>
      <c r="S276" t="s">
        <v>1192</v>
      </c>
      <c r="T276">
        <v>-9916980610</v>
      </c>
      <c r="U276" t="s">
        <v>34</v>
      </c>
      <c r="V276" t="s">
        <v>2478</v>
      </c>
      <c r="W276" s="1">
        <v>44952</v>
      </c>
    </row>
    <row r="277" spans="1:23" x14ac:dyDescent="0.25">
      <c r="A277" t="s">
        <v>1724</v>
      </c>
      <c r="B277" s="1">
        <v>45696</v>
      </c>
      <c r="C277" t="s">
        <v>558</v>
      </c>
      <c r="D277" t="s">
        <v>638</v>
      </c>
      <c r="E277" t="s">
        <v>73</v>
      </c>
      <c r="F277">
        <v>3.85</v>
      </c>
      <c r="G277" t="s">
        <v>66</v>
      </c>
      <c r="H277">
        <v>1</v>
      </c>
      <c r="I277">
        <v>-2914141.68</v>
      </c>
      <c r="J277" t="s">
        <v>102</v>
      </c>
      <c r="K277">
        <v>2656733209</v>
      </c>
      <c r="L277" t="s">
        <v>150</v>
      </c>
      <c r="M277" t="s">
        <v>77</v>
      </c>
      <c r="N277" t="s">
        <v>136</v>
      </c>
      <c r="O277" t="s">
        <v>100</v>
      </c>
      <c r="P277" t="s">
        <v>126</v>
      </c>
      <c r="Q277">
        <v>701532</v>
      </c>
      <c r="R277" t="s">
        <v>1725</v>
      </c>
      <c r="S277" t="s">
        <v>698</v>
      </c>
      <c r="T277">
        <v>2389458708</v>
      </c>
      <c r="U277" t="s">
        <v>34</v>
      </c>
      <c r="V277" t="s">
        <v>2478</v>
      </c>
      <c r="W277" s="1">
        <v>42795</v>
      </c>
    </row>
    <row r="278" spans="1:23" x14ac:dyDescent="0.25">
      <c r="A278" t="s">
        <v>1726</v>
      </c>
      <c r="B278" s="1">
        <v>45725</v>
      </c>
      <c r="C278" t="s">
        <v>1727</v>
      </c>
      <c r="D278" t="s">
        <v>135</v>
      </c>
      <c r="E278" t="s">
        <v>73</v>
      </c>
      <c r="F278">
        <v>12.17</v>
      </c>
      <c r="G278" t="s">
        <v>66</v>
      </c>
      <c r="H278">
        <v>1</v>
      </c>
      <c r="I278">
        <v>-1935478.07</v>
      </c>
      <c r="J278" t="s">
        <v>116</v>
      </c>
      <c r="K278">
        <v>3741392088</v>
      </c>
      <c r="L278" t="s">
        <v>134</v>
      </c>
      <c r="M278" t="s">
        <v>40</v>
      </c>
      <c r="N278" t="s">
        <v>106</v>
      </c>
      <c r="O278" t="s">
        <v>30</v>
      </c>
      <c r="P278" t="s">
        <v>71</v>
      </c>
      <c r="Q278">
        <v>719905</v>
      </c>
      <c r="R278" t="s">
        <v>1728</v>
      </c>
      <c r="S278" t="s">
        <v>137</v>
      </c>
      <c r="T278">
        <v>-7847991550</v>
      </c>
      <c r="U278" t="s">
        <v>34</v>
      </c>
      <c r="V278" t="s">
        <v>2474</v>
      </c>
      <c r="W278" s="1">
        <v>42675</v>
      </c>
    </row>
    <row r="279" spans="1:23" x14ac:dyDescent="0.25">
      <c r="A279" t="s">
        <v>1729</v>
      </c>
      <c r="B279" s="1">
        <v>45844</v>
      </c>
      <c r="C279" t="s">
        <v>1730</v>
      </c>
      <c r="D279" t="s">
        <v>471</v>
      </c>
      <c r="E279" t="s">
        <v>73</v>
      </c>
      <c r="F279">
        <v>19.43</v>
      </c>
      <c r="G279" t="s">
        <v>47</v>
      </c>
      <c r="H279">
        <v>106.5243</v>
      </c>
      <c r="I279">
        <v>-280096.34999999998</v>
      </c>
      <c r="J279" t="s">
        <v>96</v>
      </c>
      <c r="K279">
        <v>9235266662</v>
      </c>
      <c r="L279" t="s">
        <v>97</v>
      </c>
      <c r="M279" t="s">
        <v>28</v>
      </c>
      <c r="N279" t="s">
        <v>29</v>
      </c>
      <c r="O279" t="s">
        <v>70</v>
      </c>
      <c r="P279" t="s">
        <v>31</v>
      </c>
      <c r="Q279">
        <v>849144</v>
      </c>
      <c r="R279" t="s">
        <v>1731</v>
      </c>
      <c r="S279" t="s">
        <v>619</v>
      </c>
      <c r="T279">
        <v>-8151038695</v>
      </c>
      <c r="U279" t="s">
        <v>34</v>
      </c>
      <c r="V279" t="s">
        <v>2477</v>
      </c>
      <c r="W279" s="1">
        <v>46054</v>
      </c>
    </row>
    <row r="280" spans="1:23" x14ac:dyDescent="0.25">
      <c r="A280" t="s">
        <v>1732</v>
      </c>
      <c r="B280" s="1">
        <v>45449</v>
      </c>
      <c r="C280" t="s">
        <v>1733</v>
      </c>
      <c r="D280" t="s">
        <v>543</v>
      </c>
      <c r="E280" t="s">
        <v>73</v>
      </c>
      <c r="F280">
        <v>7.93</v>
      </c>
      <c r="G280" t="s">
        <v>56</v>
      </c>
      <c r="H280">
        <v>18.0214</v>
      </c>
      <c r="I280">
        <v>-159746.71</v>
      </c>
      <c r="J280" t="s">
        <v>98</v>
      </c>
      <c r="K280">
        <v>9782325051</v>
      </c>
      <c r="L280" t="s">
        <v>99</v>
      </c>
      <c r="M280" t="s">
        <v>121</v>
      </c>
      <c r="N280" t="s">
        <v>122</v>
      </c>
      <c r="O280" t="s">
        <v>30</v>
      </c>
      <c r="P280" t="s">
        <v>126</v>
      </c>
      <c r="Q280">
        <v>561866</v>
      </c>
      <c r="R280" t="s">
        <v>1734</v>
      </c>
      <c r="S280" t="s">
        <v>575</v>
      </c>
      <c r="T280">
        <v>-7620047112</v>
      </c>
      <c r="U280" t="s">
        <v>34</v>
      </c>
      <c r="V280" t="s">
        <v>2474</v>
      </c>
      <c r="W280" s="1">
        <v>42282</v>
      </c>
    </row>
    <row r="281" spans="1:23" x14ac:dyDescent="0.25">
      <c r="A281" t="s">
        <v>1735</v>
      </c>
      <c r="B281" s="1">
        <v>45240</v>
      </c>
      <c r="C281" t="s">
        <v>1736</v>
      </c>
      <c r="D281" t="s">
        <v>506</v>
      </c>
      <c r="E281" t="s">
        <v>73</v>
      </c>
      <c r="F281">
        <v>43.08</v>
      </c>
      <c r="G281" t="s">
        <v>66</v>
      </c>
      <c r="H281">
        <v>1</v>
      </c>
      <c r="I281">
        <v>-2464903.7000000002</v>
      </c>
      <c r="J281" t="s">
        <v>26</v>
      </c>
      <c r="K281">
        <v>1990150618</v>
      </c>
      <c r="L281" t="s">
        <v>27</v>
      </c>
      <c r="M281" t="s">
        <v>121</v>
      </c>
      <c r="N281" t="s">
        <v>222</v>
      </c>
      <c r="O281" t="s">
        <v>100</v>
      </c>
      <c r="P281" t="s">
        <v>75</v>
      </c>
      <c r="Q281">
        <v>132953</v>
      </c>
      <c r="R281">
        <v>4556100000000000</v>
      </c>
      <c r="S281" t="s">
        <v>845</v>
      </c>
      <c r="T281">
        <v>-5207232974</v>
      </c>
      <c r="U281" t="s">
        <v>34</v>
      </c>
      <c r="V281" t="s">
        <v>2474</v>
      </c>
      <c r="W281" s="1">
        <v>2018</v>
      </c>
    </row>
    <row r="282" spans="1:23" x14ac:dyDescent="0.25">
      <c r="A282" t="s">
        <v>1738</v>
      </c>
      <c r="B282" s="1">
        <v>45272</v>
      </c>
      <c r="C282" t="s">
        <v>1739</v>
      </c>
      <c r="D282" t="s">
        <v>775</v>
      </c>
      <c r="E282" t="s">
        <v>24</v>
      </c>
      <c r="F282">
        <v>22.04</v>
      </c>
      <c r="G282" t="s">
        <v>750</v>
      </c>
      <c r="H282">
        <v>19.639399999999998</v>
      </c>
      <c r="I282">
        <v>-1935685.64</v>
      </c>
      <c r="J282" t="s">
        <v>128</v>
      </c>
      <c r="K282">
        <v>-987903210</v>
      </c>
      <c r="L282" t="s">
        <v>129</v>
      </c>
      <c r="M282" t="s">
        <v>57</v>
      </c>
      <c r="N282" t="s">
        <v>58</v>
      </c>
      <c r="O282" t="s">
        <v>30</v>
      </c>
      <c r="P282" t="s">
        <v>31</v>
      </c>
      <c r="Q282">
        <v>999815</v>
      </c>
      <c r="R282" t="s">
        <v>1740</v>
      </c>
      <c r="S282" t="s">
        <v>1590</v>
      </c>
      <c r="T282">
        <v>2139885200</v>
      </c>
      <c r="U282" t="s">
        <v>34</v>
      </c>
      <c r="V282" t="s">
        <v>2472</v>
      </c>
      <c r="W282" s="1">
        <v>2016</v>
      </c>
    </row>
    <row r="283" spans="1:23" x14ac:dyDescent="0.25">
      <c r="A283" t="s">
        <v>1741</v>
      </c>
      <c r="B283" s="1">
        <v>45877</v>
      </c>
      <c r="C283" t="s">
        <v>1742</v>
      </c>
      <c r="D283" t="s">
        <v>355</v>
      </c>
      <c r="E283" t="s">
        <v>55</v>
      </c>
      <c r="F283">
        <v>13.98</v>
      </c>
      <c r="G283" t="s">
        <v>47</v>
      </c>
      <c r="H283">
        <v>93.613100000000003</v>
      </c>
      <c r="I283">
        <v>-1640253.31</v>
      </c>
      <c r="J283" t="s">
        <v>102</v>
      </c>
      <c r="K283">
        <v>5972118955</v>
      </c>
      <c r="L283" t="s">
        <v>150</v>
      </c>
      <c r="M283" t="s">
        <v>83</v>
      </c>
      <c r="N283" t="s">
        <v>117</v>
      </c>
      <c r="O283" t="s">
        <v>79</v>
      </c>
      <c r="P283" t="s">
        <v>53</v>
      </c>
      <c r="Q283">
        <v>762911</v>
      </c>
      <c r="R283" t="s">
        <v>1324</v>
      </c>
      <c r="S283" t="s">
        <v>356</v>
      </c>
      <c r="T283">
        <v>2321154896</v>
      </c>
      <c r="U283" t="s">
        <v>34</v>
      </c>
      <c r="V283" t="s">
        <v>2474</v>
      </c>
      <c r="W283" s="1">
        <v>2025</v>
      </c>
    </row>
    <row r="284" spans="1:23" x14ac:dyDescent="0.25">
      <c r="A284" t="s">
        <v>1743</v>
      </c>
      <c r="B284" s="1">
        <v>45870</v>
      </c>
      <c r="C284" t="s">
        <v>1744</v>
      </c>
      <c r="D284" t="s">
        <v>249</v>
      </c>
      <c r="E284" t="s">
        <v>73</v>
      </c>
      <c r="F284">
        <v>-23.84</v>
      </c>
      <c r="G284" t="s">
        <v>66</v>
      </c>
      <c r="H284">
        <v>1</v>
      </c>
      <c r="I284">
        <v>-2677860.29</v>
      </c>
      <c r="J284" t="s">
        <v>26</v>
      </c>
      <c r="K284">
        <v>4512671410</v>
      </c>
      <c r="L284" t="s">
        <v>27</v>
      </c>
      <c r="M284" t="s">
        <v>147</v>
      </c>
      <c r="N284" t="s">
        <v>148</v>
      </c>
      <c r="O284" t="s">
        <v>70</v>
      </c>
      <c r="P284" t="s">
        <v>107</v>
      </c>
      <c r="Q284">
        <v>192663</v>
      </c>
      <c r="R284" t="s">
        <v>1745</v>
      </c>
      <c r="S284" t="s">
        <v>1746</v>
      </c>
      <c r="T284">
        <v>1340687434</v>
      </c>
      <c r="U284" t="s">
        <v>34</v>
      </c>
      <c r="V284" t="s">
        <v>2473</v>
      </c>
      <c r="W284" s="1">
        <v>45314</v>
      </c>
    </row>
    <row r="285" spans="1:23" x14ac:dyDescent="0.25">
      <c r="A285" t="s">
        <v>1747</v>
      </c>
      <c r="B285" s="1">
        <v>45358</v>
      </c>
      <c r="C285" t="s">
        <v>1748</v>
      </c>
      <c r="D285" t="s">
        <v>491</v>
      </c>
      <c r="E285" t="s">
        <v>24</v>
      </c>
      <c r="F285">
        <v>44.61</v>
      </c>
      <c r="G285" t="s">
        <v>61</v>
      </c>
      <c r="H285">
        <v>78.503699999999995</v>
      </c>
      <c r="I285">
        <v>-2653680.9900000002</v>
      </c>
      <c r="J285" t="s">
        <v>116</v>
      </c>
      <c r="K285">
        <v>2488500311</v>
      </c>
      <c r="L285" t="s">
        <v>134</v>
      </c>
      <c r="M285" t="s">
        <v>28</v>
      </c>
      <c r="N285" t="s">
        <v>119</v>
      </c>
      <c r="O285" t="s">
        <v>70</v>
      </c>
      <c r="P285" t="s">
        <v>153</v>
      </c>
      <c r="Q285">
        <v>386143</v>
      </c>
      <c r="R285" t="s">
        <v>1749</v>
      </c>
      <c r="S285" t="s">
        <v>1127</v>
      </c>
      <c r="T285">
        <v>-644766242</v>
      </c>
      <c r="U285" t="s">
        <v>34</v>
      </c>
      <c r="V285" t="s">
        <v>2477</v>
      </c>
      <c r="W285" s="1">
        <v>45901</v>
      </c>
    </row>
    <row r="286" spans="1:23" x14ac:dyDescent="0.25">
      <c r="A286" t="s">
        <v>1750</v>
      </c>
      <c r="B286" s="1">
        <v>45847</v>
      </c>
      <c r="C286" t="s">
        <v>1751</v>
      </c>
      <c r="D286" t="s">
        <v>367</v>
      </c>
      <c r="E286" t="s">
        <v>24</v>
      </c>
      <c r="F286">
        <v>63.99</v>
      </c>
      <c r="G286" t="s">
        <v>66</v>
      </c>
      <c r="H286">
        <v>1</v>
      </c>
      <c r="I286">
        <v>-1500841.61</v>
      </c>
      <c r="J286" t="s">
        <v>62</v>
      </c>
      <c r="K286">
        <v>-3438085260</v>
      </c>
      <c r="L286" t="s">
        <v>131</v>
      </c>
      <c r="M286" t="s">
        <v>57</v>
      </c>
      <c r="N286" t="s">
        <v>58</v>
      </c>
      <c r="O286" t="s">
        <v>79</v>
      </c>
      <c r="P286" t="s">
        <v>107</v>
      </c>
      <c r="Q286">
        <v>226913</v>
      </c>
      <c r="R286" t="s">
        <v>1752</v>
      </c>
      <c r="S286" t="s">
        <v>489</v>
      </c>
      <c r="T286">
        <v>6742736282</v>
      </c>
      <c r="U286" t="s">
        <v>34</v>
      </c>
      <c r="V286" t="s">
        <v>2476</v>
      </c>
      <c r="W286" s="1">
        <v>2020</v>
      </c>
    </row>
    <row r="287" spans="1:23" x14ac:dyDescent="0.25">
      <c r="A287" t="s">
        <v>1754</v>
      </c>
      <c r="B287" s="1">
        <v>45841</v>
      </c>
      <c r="C287" t="s">
        <v>1755</v>
      </c>
      <c r="D287" t="s">
        <v>512</v>
      </c>
      <c r="E287" t="s">
        <v>24</v>
      </c>
      <c r="F287">
        <v>-15.15</v>
      </c>
      <c r="G287" t="s">
        <v>47</v>
      </c>
      <c r="H287">
        <v>95.180700000000002</v>
      </c>
      <c r="I287">
        <v>-541356.34</v>
      </c>
      <c r="J287" t="s">
        <v>102</v>
      </c>
      <c r="K287">
        <v>1671848625</v>
      </c>
      <c r="L287" t="s">
        <v>150</v>
      </c>
      <c r="M287" t="s">
        <v>50</v>
      </c>
      <c r="N287" t="s">
        <v>51</v>
      </c>
      <c r="O287" t="s">
        <v>70</v>
      </c>
      <c r="P287" t="s">
        <v>153</v>
      </c>
      <c r="Q287">
        <v>746527</v>
      </c>
      <c r="R287" t="s">
        <v>1756</v>
      </c>
      <c r="S287" t="s">
        <v>840</v>
      </c>
      <c r="T287">
        <v>4385729030</v>
      </c>
      <c r="U287" t="s">
        <v>34</v>
      </c>
      <c r="V287" t="s">
        <v>2473</v>
      </c>
      <c r="W287" s="1">
        <v>42822</v>
      </c>
    </row>
    <row r="288" spans="1:23" x14ac:dyDescent="0.25">
      <c r="A288" t="s">
        <v>1757</v>
      </c>
      <c r="B288" s="1">
        <v>45475</v>
      </c>
      <c r="C288" t="s">
        <v>650</v>
      </c>
      <c r="D288" t="s">
        <v>294</v>
      </c>
      <c r="E288" t="s">
        <v>73</v>
      </c>
      <c r="F288">
        <v>349.01</v>
      </c>
      <c r="G288" t="s">
        <v>47</v>
      </c>
      <c r="H288">
        <v>104.7129</v>
      </c>
      <c r="I288">
        <v>-1604206.37</v>
      </c>
      <c r="J288" t="s">
        <v>74</v>
      </c>
      <c r="K288">
        <v>4451939954</v>
      </c>
      <c r="L288" t="s">
        <v>105</v>
      </c>
      <c r="M288" t="s">
        <v>68</v>
      </c>
      <c r="N288" t="s">
        <v>277</v>
      </c>
      <c r="O288" t="s">
        <v>79</v>
      </c>
      <c r="P288" t="s">
        <v>153</v>
      </c>
      <c r="Q288">
        <v>335672</v>
      </c>
      <c r="R288" t="s">
        <v>256</v>
      </c>
      <c r="S288" t="s">
        <v>295</v>
      </c>
      <c r="T288">
        <v>-7262098527</v>
      </c>
      <c r="U288" t="s">
        <v>34</v>
      </c>
      <c r="V288" t="s">
        <v>2478</v>
      </c>
      <c r="W288" s="1">
        <v>44869</v>
      </c>
    </row>
    <row r="289" spans="1:23" x14ac:dyDescent="0.25">
      <c r="A289" t="s">
        <v>1758</v>
      </c>
      <c r="B289" s="1">
        <v>45845</v>
      </c>
      <c r="C289" t="s">
        <v>1759</v>
      </c>
      <c r="D289" t="s">
        <v>154</v>
      </c>
      <c r="E289" t="s">
        <v>24</v>
      </c>
      <c r="F289">
        <v>9.15</v>
      </c>
      <c r="G289" t="s">
        <v>61</v>
      </c>
      <c r="H289">
        <v>75.465100000000007</v>
      </c>
      <c r="I289">
        <v>-1200017.77</v>
      </c>
      <c r="J289" t="s">
        <v>74</v>
      </c>
      <c r="K289">
        <v>627660017</v>
      </c>
      <c r="L289" t="s">
        <v>105</v>
      </c>
      <c r="M289" t="s">
        <v>40</v>
      </c>
      <c r="N289" t="s">
        <v>41</v>
      </c>
      <c r="O289" t="s">
        <v>30</v>
      </c>
      <c r="P289" t="s">
        <v>53</v>
      </c>
      <c r="Q289">
        <v>637684</v>
      </c>
      <c r="R289" t="s">
        <v>1760</v>
      </c>
      <c r="S289" t="s">
        <v>354</v>
      </c>
      <c r="T289">
        <v>5014501962</v>
      </c>
      <c r="U289" t="s">
        <v>34</v>
      </c>
      <c r="V289" t="s">
        <v>2476</v>
      </c>
      <c r="W289" s="1">
        <v>42948</v>
      </c>
    </row>
    <row r="290" spans="1:23" x14ac:dyDescent="0.25">
      <c r="A290" t="s">
        <v>1763</v>
      </c>
      <c r="B290" s="1">
        <v>45210</v>
      </c>
      <c r="C290" t="s">
        <v>1764</v>
      </c>
      <c r="D290" t="s">
        <v>201</v>
      </c>
      <c r="E290" t="s">
        <v>55</v>
      </c>
      <c r="F290">
        <v>5.5</v>
      </c>
      <c r="G290" t="s">
        <v>66</v>
      </c>
      <c r="H290">
        <v>1</v>
      </c>
      <c r="I290">
        <v>-2772862.22</v>
      </c>
      <c r="J290" t="s">
        <v>38</v>
      </c>
      <c r="K290">
        <v>4402634470</v>
      </c>
      <c r="L290" t="s">
        <v>39</v>
      </c>
      <c r="M290" t="s">
        <v>57</v>
      </c>
      <c r="N290" t="s">
        <v>63</v>
      </c>
      <c r="O290" t="s">
        <v>79</v>
      </c>
      <c r="P290" t="s">
        <v>59</v>
      </c>
      <c r="Q290">
        <v>412347</v>
      </c>
      <c r="R290" t="s">
        <v>1765</v>
      </c>
      <c r="S290" t="s">
        <v>534</v>
      </c>
      <c r="T290">
        <v>697940202</v>
      </c>
      <c r="U290" t="s">
        <v>34</v>
      </c>
      <c r="V290" t="s">
        <v>2473</v>
      </c>
      <c r="W290" s="1">
        <v>43901</v>
      </c>
    </row>
    <row r="291" spans="1:23" x14ac:dyDescent="0.25">
      <c r="A291" t="s">
        <v>1766</v>
      </c>
      <c r="B291" s="1">
        <v>45695</v>
      </c>
      <c r="C291" t="s">
        <v>1767</v>
      </c>
      <c r="D291" t="s">
        <v>688</v>
      </c>
      <c r="E291" t="s">
        <v>73</v>
      </c>
      <c r="F291">
        <v>5.07</v>
      </c>
      <c r="G291" t="s">
        <v>66</v>
      </c>
      <c r="H291">
        <v>1</v>
      </c>
      <c r="I291">
        <v>-1009066.08</v>
      </c>
      <c r="J291" t="s">
        <v>67</v>
      </c>
      <c r="K291">
        <v>6212035096</v>
      </c>
      <c r="L291" t="s">
        <v>178</v>
      </c>
      <c r="M291" t="s">
        <v>57</v>
      </c>
      <c r="N291" t="s">
        <v>58</v>
      </c>
      <c r="O291" t="s">
        <v>79</v>
      </c>
      <c r="P291" t="s">
        <v>31</v>
      </c>
      <c r="Q291">
        <v>558100</v>
      </c>
      <c r="R291" t="s">
        <v>1768</v>
      </c>
      <c r="S291" t="s">
        <v>967</v>
      </c>
      <c r="T291">
        <v>3958234954</v>
      </c>
      <c r="U291" t="s">
        <v>34</v>
      </c>
      <c r="V291" t="s">
        <v>2477</v>
      </c>
      <c r="W291" s="1">
        <v>43435</v>
      </c>
    </row>
    <row r="292" spans="1:23" x14ac:dyDescent="0.25">
      <c r="A292" t="s">
        <v>1769</v>
      </c>
      <c r="B292" s="1">
        <v>45454</v>
      </c>
      <c r="C292" t="s">
        <v>1770</v>
      </c>
      <c r="D292" t="s">
        <v>364</v>
      </c>
      <c r="E292" t="s">
        <v>55</v>
      </c>
      <c r="F292">
        <v>9.7200000000000006</v>
      </c>
      <c r="G292" t="s">
        <v>56</v>
      </c>
      <c r="H292">
        <v>21.652799999999999</v>
      </c>
      <c r="I292">
        <v>-530000.52</v>
      </c>
      <c r="J292" t="s">
        <v>74</v>
      </c>
      <c r="K292">
        <v>2421026890</v>
      </c>
      <c r="L292" t="s">
        <v>105</v>
      </c>
      <c r="M292" t="s">
        <v>68</v>
      </c>
      <c r="N292" t="s">
        <v>69</v>
      </c>
      <c r="O292" t="s">
        <v>42</v>
      </c>
      <c r="P292" t="s">
        <v>43</v>
      </c>
      <c r="Q292">
        <v>272506</v>
      </c>
      <c r="R292" t="s">
        <v>1771</v>
      </c>
      <c r="S292" t="s">
        <v>1772</v>
      </c>
      <c r="T292">
        <v>5120387252</v>
      </c>
      <c r="U292" t="s">
        <v>34</v>
      </c>
      <c r="V292" t="s">
        <v>2477</v>
      </c>
      <c r="W292" s="1">
        <v>2016</v>
      </c>
    </row>
    <row r="293" spans="1:23" x14ac:dyDescent="0.25">
      <c r="A293" t="s">
        <v>1773</v>
      </c>
      <c r="B293" s="1">
        <v>45843</v>
      </c>
      <c r="C293" t="s">
        <v>1774</v>
      </c>
      <c r="D293" t="s">
        <v>220</v>
      </c>
      <c r="E293" t="s">
        <v>24</v>
      </c>
      <c r="F293">
        <v>45.03</v>
      </c>
      <c r="G293" t="s">
        <v>47</v>
      </c>
      <c r="H293">
        <v>98.313199999999995</v>
      </c>
      <c r="I293">
        <v>-2773664.54</v>
      </c>
      <c r="J293" t="s">
        <v>116</v>
      </c>
      <c r="K293">
        <v>-3128289494</v>
      </c>
      <c r="L293" t="s">
        <v>134</v>
      </c>
      <c r="M293" t="s">
        <v>57</v>
      </c>
      <c r="N293" t="s">
        <v>58</v>
      </c>
      <c r="O293" t="s">
        <v>42</v>
      </c>
      <c r="P293" t="s">
        <v>31</v>
      </c>
      <c r="Q293">
        <v>637695</v>
      </c>
      <c r="R293" t="s">
        <v>1775</v>
      </c>
      <c r="S293" t="s">
        <v>221</v>
      </c>
      <c r="T293">
        <v>-9531260042</v>
      </c>
      <c r="U293" t="s">
        <v>34</v>
      </c>
      <c r="V293" t="s">
        <v>2475</v>
      </c>
      <c r="W293" s="1">
        <v>42407</v>
      </c>
    </row>
    <row r="294" spans="1:23" x14ac:dyDescent="0.25">
      <c r="A294" t="s">
        <v>1777</v>
      </c>
      <c r="B294" s="1">
        <v>45814</v>
      </c>
      <c r="C294" t="s">
        <v>1081</v>
      </c>
      <c r="D294" t="s">
        <v>309</v>
      </c>
      <c r="E294" t="s">
        <v>24</v>
      </c>
      <c r="F294">
        <v>45.64</v>
      </c>
      <c r="G294" t="s">
        <v>61</v>
      </c>
      <c r="H294">
        <v>74.774199999999993</v>
      </c>
      <c r="I294">
        <v>-965006.4</v>
      </c>
      <c r="J294" t="s">
        <v>96</v>
      </c>
      <c r="K294">
        <v>7165838299</v>
      </c>
      <c r="L294" t="s">
        <v>97</v>
      </c>
      <c r="M294" t="s">
        <v>87</v>
      </c>
      <c r="N294" t="s">
        <v>151</v>
      </c>
      <c r="O294" t="s">
        <v>79</v>
      </c>
      <c r="P294" t="s">
        <v>43</v>
      </c>
      <c r="Q294">
        <v>535996</v>
      </c>
      <c r="R294" t="s">
        <v>785</v>
      </c>
      <c r="S294" t="s">
        <v>1440</v>
      </c>
      <c r="T294">
        <v>-585268298</v>
      </c>
      <c r="U294" t="s">
        <v>34</v>
      </c>
      <c r="V294" t="s">
        <v>2473</v>
      </c>
      <c r="W294" s="1">
        <v>43313</v>
      </c>
    </row>
    <row r="295" spans="1:23" x14ac:dyDescent="0.25">
      <c r="A295" t="s">
        <v>1778</v>
      </c>
      <c r="B295" s="1">
        <v>44995</v>
      </c>
      <c r="C295" t="s">
        <v>1779</v>
      </c>
      <c r="D295" t="s">
        <v>334</v>
      </c>
      <c r="E295" t="s">
        <v>24</v>
      </c>
      <c r="F295">
        <v>45.74</v>
      </c>
      <c r="G295" t="s">
        <v>56</v>
      </c>
      <c r="H295">
        <v>20.3078</v>
      </c>
      <c r="I295">
        <v>-1169035.71</v>
      </c>
      <c r="J295" t="s">
        <v>128</v>
      </c>
      <c r="K295">
        <v>6601960349</v>
      </c>
      <c r="L295" t="s">
        <v>129</v>
      </c>
      <c r="M295" t="s">
        <v>57</v>
      </c>
      <c r="N295" t="s">
        <v>63</v>
      </c>
      <c r="O295" t="s">
        <v>42</v>
      </c>
      <c r="P295" t="s">
        <v>59</v>
      </c>
      <c r="Q295">
        <v>298571</v>
      </c>
      <c r="R295">
        <v>4921520000000000</v>
      </c>
      <c r="S295" t="s">
        <v>444</v>
      </c>
      <c r="T295">
        <v>2403516324</v>
      </c>
      <c r="U295" t="s">
        <v>34</v>
      </c>
      <c r="V295" t="s">
        <v>2477</v>
      </c>
      <c r="W295" s="1">
        <v>2015</v>
      </c>
    </row>
    <row r="296" spans="1:23" x14ac:dyDescent="0.25">
      <c r="A296" t="s">
        <v>1781</v>
      </c>
      <c r="B296" s="1">
        <v>45846</v>
      </c>
      <c r="C296" t="s">
        <v>1782</v>
      </c>
      <c r="D296" t="s">
        <v>315</v>
      </c>
      <c r="E296" t="s">
        <v>73</v>
      </c>
      <c r="F296">
        <v>48.66</v>
      </c>
      <c r="G296" t="s">
        <v>56</v>
      </c>
      <c r="H296">
        <v>18.0563</v>
      </c>
      <c r="I296">
        <v>-1985141.3</v>
      </c>
      <c r="J296" t="s">
        <v>128</v>
      </c>
      <c r="K296">
        <v>4252197053</v>
      </c>
      <c r="L296" t="s">
        <v>129</v>
      </c>
      <c r="M296" t="s">
        <v>147</v>
      </c>
      <c r="N296" t="s">
        <v>148</v>
      </c>
      <c r="O296" t="s">
        <v>52</v>
      </c>
      <c r="P296" t="s">
        <v>75</v>
      </c>
      <c r="Q296">
        <v>310906</v>
      </c>
      <c r="R296" t="s">
        <v>1520</v>
      </c>
      <c r="S296" t="s">
        <v>434</v>
      </c>
      <c r="T296">
        <v>1380967383</v>
      </c>
      <c r="U296" t="s">
        <v>34</v>
      </c>
      <c r="V296" t="s">
        <v>2474</v>
      </c>
      <c r="W296" s="1">
        <v>2020</v>
      </c>
    </row>
    <row r="297" spans="1:23" x14ac:dyDescent="0.25">
      <c r="A297" t="s">
        <v>1784</v>
      </c>
      <c r="B297" s="1">
        <v>45242</v>
      </c>
      <c r="C297" t="s">
        <v>1446</v>
      </c>
      <c r="D297" t="s">
        <v>190</v>
      </c>
      <c r="E297" t="s">
        <v>73</v>
      </c>
      <c r="F297">
        <v>42.26</v>
      </c>
      <c r="G297" t="s">
        <v>61</v>
      </c>
      <c r="H297">
        <v>76.073499999999996</v>
      </c>
      <c r="I297">
        <v>-2308150.2799999998</v>
      </c>
      <c r="J297" t="s">
        <v>26</v>
      </c>
      <c r="K297">
        <v>153513554</v>
      </c>
      <c r="L297" t="s">
        <v>27</v>
      </c>
      <c r="M297" t="s">
        <v>40</v>
      </c>
      <c r="N297" t="s">
        <v>106</v>
      </c>
      <c r="O297" t="s">
        <v>30</v>
      </c>
      <c r="P297" t="s">
        <v>126</v>
      </c>
      <c r="Q297">
        <v>745778</v>
      </c>
      <c r="R297" t="s">
        <v>1785</v>
      </c>
      <c r="S297" t="s">
        <v>1282</v>
      </c>
      <c r="T297">
        <v>7265689099</v>
      </c>
      <c r="U297" t="s">
        <v>34</v>
      </c>
      <c r="V297" t="s">
        <v>2475</v>
      </c>
      <c r="W297" s="1">
        <v>2015</v>
      </c>
    </row>
    <row r="298" spans="1:23" x14ac:dyDescent="0.25">
      <c r="A298" t="s">
        <v>1786</v>
      </c>
      <c r="B298" s="1">
        <v>45328</v>
      </c>
      <c r="C298" t="s">
        <v>1787</v>
      </c>
      <c r="D298" t="s">
        <v>247</v>
      </c>
      <c r="E298" t="s">
        <v>73</v>
      </c>
      <c r="F298">
        <v>150.07</v>
      </c>
      <c r="G298" t="s">
        <v>782</v>
      </c>
      <c r="H298">
        <v>107.85590000000001</v>
      </c>
      <c r="I298">
        <v>-1931427.08</v>
      </c>
      <c r="J298" t="s">
        <v>91</v>
      </c>
      <c r="K298">
        <v>-6568912807</v>
      </c>
      <c r="L298" t="s">
        <v>92</v>
      </c>
      <c r="M298" t="s">
        <v>83</v>
      </c>
      <c r="N298" t="s">
        <v>84</v>
      </c>
      <c r="O298" t="s">
        <v>52</v>
      </c>
      <c r="P298" t="s">
        <v>53</v>
      </c>
      <c r="Q298">
        <v>934581</v>
      </c>
      <c r="R298" t="s">
        <v>1788</v>
      </c>
      <c r="S298" t="s">
        <v>660</v>
      </c>
      <c r="T298">
        <v>720534043</v>
      </c>
      <c r="U298" t="s">
        <v>34</v>
      </c>
      <c r="V298" t="s">
        <v>2478</v>
      </c>
      <c r="W298" s="1">
        <v>42105</v>
      </c>
    </row>
    <row r="299" spans="1:23" x14ac:dyDescent="0.25">
      <c r="A299" t="s">
        <v>1789</v>
      </c>
      <c r="B299" s="1">
        <v>45543</v>
      </c>
      <c r="C299" t="s">
        <v>787</v>
      </c>
      <c r="D299" t="s">
        <v>297</v>
      </c>
      <c r="E299" t="s">
        <v>24</v>
      </c>
      <c r="F299">
        <v>107.14</v>
      </c>
      <c r="G299" t="s">
        <v>66</v>
      </c>
      <c r="H299">
        <v>1</v>
      </c>
      <c r="I299">
        <v>-1712925.45</v>
      </c>
      <c r="J299" t="s">
        <v>98</v>
      </c>
      <c r="K299">
        <v>5391449510</v>
      </c>
      <c r="L299" t="s">
        <v>99</v>
      </c>
      <c r="M299" t="s">
        <v>40</v>
      </c>
      <c r="N299" t="s">
        <v>41</v>
      </c>
      <c r="O299" t="s">
        <v>42</v>
      </c>
      <c r="P299" t="s">
        <v>153</v>
      </c>
      <c r="Q299">
        <v>365</v>
      </c>
      <c r="R299" t="s">
        <v>1790</v>
      </c>
      <c r="S299" t="s">
        <v>1648</v>
      </c>
      <c r="T299">
        <v>6299229007</v>
      </c>
      <c r="U299" t="s">
        <v>34</v>
      </c>
      <c r="V299" t="s">
        <v>2476</v>
      </c>
      <c r="W299" s="1">
        <v>44601</v>
      </c>
    </row>
    <row r="300" spans="1:23" x14ac:dyDescent="0.25">
      <c r="A300" t="s">
        <v>1791</v>
      </c>
      <c r="B300" s="1">
        <v>45452</v>
      </c>
      <c r="C300" t="s">
        <v>1178</v>
      </c>
      <c r="D300" t="s">
        <v>1792</v>
      </c>
      <c r="E300" t="s">
        <v>24</v>
      </c>
      <c r="F300">
        <v>3.5</v>
      </c>
      <c r="G300" t="s">
        <v>61</v>
      </c>
      <c r="H300">
        <v>81.968800000000002</v>
      </c>
      <c r="I300">
        <v>-2933482.94</v>
      </c>
      <c r="J300" t="s">
        <v>102</v>
      </c>
      <c r="K300">
        <v>850417358</v>
      </c>
      <c r="L300" t="s">
        <v>150</v>
      </c>
      <c r="M300" t="s">
        <v>50</v>
      </c>
      <c r="N300" t="s">
        <v>51</v>
      </c>
      <c r="O300" t="s">
        <v>79</v>
      </c>
      <c r="P300" t="s">
        <v>153</v>
      </c>
      <c r="Q300">
        <v>908622</v>
      </c>
      <c r="R300" t="s">
        <v>1793</v>
      </c>
      <c r="S300" t="s">
        <v>1794</v>
      </c>
      <c r="T300">
        <v>2713652070</v>
      </c>
      <c r="U300" t="s">
        <v>34</v>
      </c>
      <c r="V300" t="s">
        <v>2478</v>
      </c>
      <c r="W300" s="1">
        <v>45901</v>
      </c>
    </row>
    <row r="301" spans="1:23" x14ac:dyDescent="0.25">
      <c r="A301" t="s">
        <v>1795</v>
      </c>
      <c r="B301" s="1">
        <v>45658</v>
      </c>
      <c r="C301" t="s">
        <v>1796</v>
      </c>
      <c r="D301" t="s">
        <v>174</v>
      </c>
      <c r="E301" t="s">
        <v>24</v>
      </c>
      <c r="F301">
        <v>7.82</v>
      </c>
      <c r="G301" t="s">
        <v>61</v>
      </c>
      <c r="H301">
        <v>74.362099999999998</v>
      </c>
      <c r="I301">
        <v>-1617494.1</v>
      </c>
      <c r="J301" t="s">
        <v>67</v>
      </c>
      <c r="K301">
        <v>7416537617</v>
      </c>
      <c r="L301" t="s">
        <v>178</v>
      </c>
      <c r="M301" t="s">
        <v>121</v>
      </c>
      <c r="N301" t="s">
        <v>222</v>
      </c>
      <c r="O301" t="s">
        <v>52</v>
      </c>
      <c r="P301" t="s">
        <v>126</v>
      </c>
      <c r="Q301">
        <v>399074</v>
      </c>
      <c r="R301" t="s">
        <v>1797</v>
      </c>
      <c r="S301" t="s">
        <v>175</v>
      </c>
      <c r="T301">
        <v>2263876267</v>
      </c>
      <c r="U301" t="s">
        <v>34</v>
      </c>
      <c r="V301" t="s">
        <v>2472</v>
      </c>
      <c r="W301" s="1">
        <v>2015</v>
      </c>
    </row>
    <row r="302" spans="1:23" x14ac:dyDescent="0.25">
      <c r="A302" t="s">
        <v>1798</v>
      </c>
      <c r="B302" s="1">
        <v>45999</v>
      </c>
      <c r="C302" t="s">
        <v>559</v>
      </c>
      <c r="D302" t="s">
        <v>1799</v>
      </c>
      <c r="E302" t="s">
        <v>55</v>
      </c>
      <c r="F302">
        <v>15.41</v>
      </c>
      <c r="G302" t="s">
        <v>56</v>
      </c>
      <c r="H302">
        <v>19.2667</v>
      </c>
      <c r="I302">
        <v>-481695.5</v>
      </c>
      <c r="J302" t="s">
        <v>116</v>
      </c>
      <c r="K302">
        <v>9755210279</v>
      </c>
      <c r="L302" t="s">
        <v>134</v>
      </c>
      <c r="M302" t="s">
        <v>50</v>
      </c>
      <c r="N302" t="s">
        <v>111</v>
      </c>
      <c r="O302" t="s">
        <v>70</v>
      </c>
      <c r="P302" t="s">
        <v>71</v>
      </c>
      <c r="Q302">
        <v>844600</v>
      </c>
      <c r="R302" t="s">
        <v>1800</v>
      </c>
      <c r="S302" t="s">
        <v>1801</v>
      </c>
      <c r="T302">
        <v>8574625799</v>
      </c>
      <c r="U302" t="s">
        <v>34</v>
      </c>
      <c r="V302" t="s">
        <v>2476</v>
      </c>
      <c r="W302" s="1">
        <v>45205</v>
      </c>
    </row>
    <row r="303" spans="1:23" x14ac:dyDescent="0.25">
      <c r="A303" t="s">
        <v>1802</v>
      </c>
      <c r="B303" s="1">
        <v>45661</v>
      </c>
      <c r="C303" t="s">
        <v>1803</v>
      </c>
      <c r="D303" t="s">
        <v>402</v>
      </c>
      <c r="E303" t="s">
        <v>55</v>
      </c>
      <c r="F303">
        <v>67.11</v>
      </c>
      <c r="G303" t="s">
        <v>47</v>
      </c>
      <c r="H303">
        <v>100.8006</v>
      </c>
      <c r="I303">
        <v>-1221696.02</v>
      </c>
      <c r="J303" t="s">
        <v>98</v>
      </c>
      <c r="K303">
        <v>720673717</v>
      </c>
      <c r="L303" t="s">
        <v>99</v>
      </c>
      <c r="M303" t="s">
        <v>50</v>
      </c>
      <c r="N303" t="s">
        <v>111</v>
      </c>
      <c r="O303" t="s">
        <v>70</v>
      </c>
      <c r="P303" t="s">
        <v>59</v>
      </c>
      <c r="Q303">
        <v>941496</v>
      </c>
      <c r="R303" t="s">
        <v>1804</v>
      </c>
      <c r="S303" t="s">
        <v>1342</v>
      </c>
      <c r="T303">
        <v>6221884653</v>
      </c>
      <c r="U303" t="s">
        <v>34</v>
      </c>
      <c r="V303" t="s">
        <v>2478</v>
      </c>
      <c r="W303" s="1">
        <v>42522</v>
      </c>
    </row>
    <row r="304" spans="1:23" x14ac:dyDescent="0.25">
      <c r="A304" t="s">
        <v>1805</v>
      </c>
      <c r="B304" s="1">
        <v>45635</v>
      </c>
      <c r="C304" t="s">
        <v>1806</v>
      </c>
      <c r="D304" t="s">
        <v>843</v>
      </c>
      <c r="E304" t="s">
        <v>24</v>
      </c>
      <c r="F304">
        <v>19.62</v>
      </c>
      <c r="G304" t="s">
        <v>61</v>
      </c>
      <c r="H304">
        <v>81.597099999999998</v>
      </c>
      <c r="I304">
        <v>-1162837.32</v>
      </c>
      <c r="J304" t="s">
        <v>96</v>
      </c>
      <c r="K304">
        <v>9521826377</v>
      </c>
      <c r="L304" t="s">
        <v>97</v>
      </c>
      <c r="M304" t="s">
        <v>28</v>
      </c>
      <c r="N304" t="s">
        <v>29</v>
      </c>
      <c r="O304" t="s">
        <v>100</v>
      </c>
      <c r="P304" t="s">
        <v>43</v>
      </c>
      <c r="Q304">
        <v>368258</v>
      </c>
      <c r="R304" t="s">
        <v>1807</v>
      </c>
      <c r="S304" t="s">
        <v>1523</v>
      </c>
      <c r="T304">
        <v>166715561</v>
      </c>
      <c r="U304" t="s">
        <v>34</v>
      </c>
      <c r="V304" t="s">
        <v>2476</v>
      </c>
      <c r="W304" s="1">
        <v>2022</v>
      </c>
    </row>
    <row r="305" spans="1:23" x14ac:dyDescent="0.25">
      <c r="A305" t="s">
        <v>1808</v>
      </c>
      <c r="B305" s="1">
        <v>45931</v>
      </c>
      <c r="C305" t="s">
        <v>1583</v>
      </c>
      <c r="D305" t="s">
        <v>538</v>
      </c>
      <c r="E305" t="s">
        <v>24</v>
      </c>
      <c r="F305">
        <v>17.420000000000002</v>
      </c>
      <c r="G305" t="s">
        <v>66</v>
      </c>
      <c r="H305">
        <v>1</v>
      </c>
      <c r="I305">
        <v>-1639862.41</v>
      </c>
      <c r="J305" t="s">
        <v>116</v>
      </c>
      <c r="K305">
        <v>-6420162350</v>
      </c>
      <c r="L305" t="s">
        <v>134</v>
      </c>
      <c r="M305" t="s">
        <v>87</v>
      </c>
      <c r="N305" t="s">
        <v>151</v>
      </c>
      <c r="O305" t="s">
        <v>79</v>
      </c>
      <c r="P305" t="s">
        <v>53</v>
      </c>
      <c r="Q305">
        <v>866156</v>
      </c>
      <c r="R305" t="s">
        <v>1809</v>
      </c>
      <c r="S305" t="s">
        <v>1449</v>
      </c>
      <c r="T305">
        <v>-5974499641</v>
      </c>
      <c r="U305" t="s">
        <v>34</v>
      </c>
      <c r="V305" t="s">
        <v>2477</v>
      </c>
      <c r="W305" s="1">
        <v>2022</v>
      </c>
    </row>
    <row r="306" spans="1:23" x14ac:dyDescent="0.25">
      <c r="A306" t="s">
        <v>1810</v>
      </c>
      <c r="B306" s="1">
        <v>45607</v>
      </c>
      <c r="C306" t="s">
        <v>1811</v>
      </c>
      <c r="D306" t="s">
        <v>989</v>
      </c>
      <c r="E306" t="s">
        <v>55</v>
      </c>
      <c r="F306">
        <v>64.260000000000005</v>
      </c>
      <c r="G306" t="s">
        <v>56</v>
      </c>
      <c r="H306">
        <v>20.562799999999999</v>
      </c>
      <c r="I306">
        <v>-593352.65</v>
      </c>
      <c r="J306" t="s">
        <v>62</v>
      </c>
      <c r="K306">
        <v>4321314614</v>
      </c>
      <c r="L306" t="s">
        <v>131</v>
      </c>
      <c r="M306" t="s">
        <v>28</v>
      </c>
      <c r="N306" t="s">
        <v>119</v>
      </c>
      <c r="O306" t="s">
        <v>79</v>
      </c>
      <c r="P306" t="s">
        <v>43</v>
      </c>
      <c r="Q306">
        <v>300164</v>
      </c>
      <c r="R306">
        <v>4077390000000000</v>
      </c>
      <c r="S306" t="s">
        <v>1089</v>
      </c>
      <c r="T306">
        <v>3879571390</v>
      </c>
      <c r="U306" t="s">
        <v>34</v>
      </c>
      <c r="V306" t="s">
        <v>2476</v>
      </c>
      <c r="W306" s="1">
        <v>2024</v>
      </c>
    </row>
    <row r="307" spans="1:23" x14ac:dyDescent="0.25">
      <c r="A307" t="s">
        <v>1814</v>
      </c>
      <c r="B307" s="1">
        <v>45026</v>
      </c>
      <c r="C307" t="s">
        <v>1815</v>
      </c>
      <c r="D307" t="s">
        <v>390</v>
      </c>
      <c r="E307" t="s">
        <v>24</v>
      </c>
      <c r="F307">
        <v>30.1</v>
      </c>
      <c r="G307" t="s">
        <v>61</v>
      </c>
      <c r="H307">
        <v>73.909300000000002</v>
      </c>
      <c r="I307">
        <v>-1076518</v>
      </c>
      <c r="J307" t="s">
        <v>86</v>
      </c>
      <c r="K307">
        <v>8529116679</v>
      </c>
      <c r="L307" t="s">
        <v>181</v>
      </c>
      <c r="M307" t="s">
        <v>87</v>
      </c>
      <c r="N307" t="s">
        <v>151</v>
      </c>
      <c r="O307" t="s">
        <v>100</v>
      </c>
      <c r="P307" t="s">
        <v>153</v>
      </c>
      <c r="Q307">
        <v>554911</v>
      </c>
      <c r="R307" t="s">
        <v>1816</v>
      </c>
      <c r="S307" t="s">
        <v>410</v>
      </c>
      <c r="T307">
        <v>-7957211539</v>
      </c>
      <c r="U307" t="s">
        <v>34</v>
      </c>
      <c r="V307" t="s">
        <v>2472</v>
      </c>
      <c r="W307" s="1">
        <v>43191</v>
      </c>
    </row>
    <row r="308" spans="1:23" x14ac:dyDescent="0.25">
      <c r="A308" t="s">
        <v>1819</v>
      </c>
      <c r="B308" s="1">
        <v>45938</v>
      </c>
      <c r="C308" t="s">
        <v>395</v>
      </c>
      <c r="D308" t="s">
        <v>245</v>
      </c>
      <c r="E308" t="s">
        <v>24</v>
      </c>
      <c r="F308">
        <v>26.64</v>
      </c>
      <c r="G308" t="s">
        <v>47</v>
      </c>
      <c r="H308">
        <v>99.625500000000002</v>
      </c>
      <c r="I308">
        <v>-1269682.3600000001</v>
      </c>
      <c r="J308" t="s">
        <v>62</v>
      </c>
      <c r="K308">
        <v>8753343847</v>
      </c>
      <c r="L308" t="s">
        <v>131</v>
      </c>
      <c r="M308" t="s">
        <v>50</v>
      </c>
      <c r="N308" t="s">
        <v>51</v>
      </c>
      <c r="O308" t="s">
        <v>79</v>
      </c>
      <c r="P308" t="s">
        <v>53</v>
      </c>
      <c r="Q308">
        <v>170533</v>
      </c>
      <c r="R308" t="s">
        <v>1820</v>
      </c>
      <c r="S308" t="s">
        <v>246</v>
      </c>
      <c r="T308">
        <v>9600449721</v>
      </c>
      <c r="U308" t="s">
        <v>34</v>
      </c>
      <c r="V308" t="s">
        <v>2477</v>
      </c>
      <c r="W308" s="1">
        <v>44409</v>
      </c>
    </row>
    <row r="309" spans="1:23" x14ac:dyDescent="0.25">
      <c r="A309" t="s">
        <v>1821</v>
      </c>
      <c r="B309" s="1">
        <v>45603</v>
      </c>
      <c r="C309" t="s">
        <v>1822</v>
      </c>
      <c r="D309" t="s">
        <v>332</v>
      </c>
      <c r="E309" t="s">
        <v>24</v>
      </c>
      <c r="F309">
        <v>21.85</v>
      </c>
      <c r="G309" t="s">
        <v>56</v>
      </c>
      <c r="H309">
        <v>21.325700000000001</v>
      </c>
      <c r="I309">
        <v>-2120734.2799999998</v>
      </c>
      <c r="J309" t="s">
        <v>91</v>
      </c>
      <c r="K309">
        <v>9206834654</v>
      </c>
      <c r="L309" t="s">
        <v>92</v>
      </c>
      <c r="M309" t="s">
        <v>57</v>
      </c>
      <c r="N309" t="s">
        <v>63</v>
      </c>
      <c r="O309" t="s">
        <v>30</v>
      </c>
      <c r="P309" t="s">
        <v>59</v>
      </c>
      <c r="Q309">
        <v>857511</v>
      </c>
      <c r="R309" t="s">
        <v>1823</v>
      </c>
      <c r="S309" t="s">
        <v>333</v>
      </c>
      <c r="T309">
        <v>2607204622</v>
      </c>
      <c r="U309" t="s">
        <v>34</v>
      </c>
      <c r="V309" t="s">
        <v>2476</v>
      </c>
      <c r="W309" s="1">
        <v>44369</v>
      </c>
    </row>
    <row r="310" spans="1:23" x14ac:dyDescent="0.25">
      <c r="A310" t="s">
        <v>1826</v>
      </c>
      <c r="B310" s="1">
        <v>45508</v>
      </c>
      <c r="C310" t="s">
        <v>854</v>
      </c>
      <c r="D310" t="s">
        <v>225</v>
      </c>
      <c r="E310" t="s">
        <v>24</v>
      </c>
      <c r="F310">
        <v>2.88</v>
      </c>
      <c r="G310" t="s">
        <v>66</v>
      </c>
      <c r="H310">
        <v>1</v>
      </c>
      <c r="I310">
        <v>-2419593.25</v>
      </c>
      <c r="J310" t="s">
        <v>62</v>
      </c>
      <c r="K310">
        <v>1955940995</v>
      </c>
      <c r="L310" t="s">
        <v>131</v>
      </c>
      <c r="M310" t="s">
        <v>57</v>
      </c>
      <c r="N310" t="s">
        <v>209</v>
      </c>
      <c r="O310" t="s">
        <v>42</v>
      </c>
      <c r="P310" t="s">
        <v>59</v>
      </c>
      <c r="Q310">
        <v>250878</v>
      </c>
      <c r="R310">
        <v>4699800000000000</v>
      </c>
      <c r="S310" t="s">
        <v>911</v>
      </c>
      <c r="T310">
        <v>8976029922</v>
      </c>
      <c r="U310" t="s">
        <v>34</v>
      </c>
      <c r="V310" t="s">
        <v>2473</v>
      </c>
      <c r="W310" s="1">
        <v>43248</v>
      </c>
    </row>
    <row r="311" spans="1:23" x14ac:dyDescent="0.25">
      <c r="A311" t="s">
        <v>1828</v>
      </c>
      <c r="B311" s="1">
        <v>45606</v>
      </c>
      <c r="C311" t="s">
        <v>1829</v>
      </c>
      <c r="D311" t="s">
        <v>710</v>
      </c>
      <c r="E311" t="s">
        <v>24</v>
      </c>
      <c r="F311">
        <v>175.21</v>
      </c>
      <c r="G311" t="s">
        <v>47</v>
      </c>
      <c r="H311">
        <v>106.4945</v>
      </c>
      <c r="I311">
        <v>-1627112.49</v>
      </c>
      <c r="J311" t="s">
        <v>26</v>
      </c>
      <c r="K311">
        <v>3395554331</v>
      </c>
      <c r="L311" t="s">
        <v>27</v>
      </c>
      <c r="M311" t="s">
        <v>121</v>
      </c>
      <c r="N311" t="s">
        <v>213</v>
      </c>
      <c r="O311" t="s">
        <v>70</v>
      </c>
      <c r="P311" t="s">
        <v>126</v>
      </c>
      <c r="Q311">
        <v>610130</v>
      </c>
      <c r="R311" t="s">
        <v>1830</v>
      </c>
      <c r="S311" t="s">
        <v>945</v>
      </c>
      <c r="T311">
        <v>-7222908638</v>
      </c>
      <c r="U311" t="s">
        <v>34</v>
      </c>
      <c r="V311" t="s">
        <v>2474</v>
      </c>
      <c r="W311" s="1">
        <v>44086</v>
      </c>
    </row>
    <row r="312" spans="1:23" x14ac:dyDescent="0.25">
      <c r="A312" t="s">
        <v>1831</v>
      </c>
      <c r="B312" s="1">
        <v>45724</v>
      </c>
      <c r="C312" t="s">
        <v>1671</v>
      </c>
      <c r="D312" t="s">
        <v>482</v>
      </c>
      <c r="E312" t="s">
        <v>24</v>
      </c>
      <c r="F312">
        <v>22.85</v>
      </c>
      <c r="G312" t="s">
        <v>66</v>
      </c>
      <c r="H312">
        <v>1</v>
      </c>
      <c r="I312">
        <v>-447358.67</v>
      </c>
      <c r="J312" t="s">
        <v>96</v>
      </c>
      <c r="K312">
        <v>7393795881</v>
      </c>
      <c r="L312" t="s">
        <v>97</v>
      </c>
      <c r="M312" t="s">
        <v>87</v>
      </c>
      <c r="N312" t="s">
        <v>88</v>
      </c>
      <c r="O312" t="s">
        <v>100</v>
      </c>
      <c r="P312" t="s">
        <v>43</v>
      </c>
      <c r="Q312">
        <v>795</v>
      </c>
      <c r="R312">
        <v>4767040000000000</v>
      </c>
      <c r="S312" t="s">
        <v>493</v>
      </c>
      <c r="T312">
        <v>9052328630</v>
      </c>
      <c r="U312" t="s">
        <v>34</v>
      </c>
      <c r="V312" t="s">
        <v>2475</v>
      </c>
      <c r="W312" s="1">
        <v>42522</v>
      </c>
    </row>
    <row r="313" spans="1:23" x14ac:dyDescent="0.25">
      <c r="A313" t="s">
        <v>1833</v>
      </c>
      <c r="B313" s="1">
        <v>45966</v>
      </c>
      <c r="C313" t="s">
        <v>1834</v>
      </c>
      <c r="D313" t="s">
        <v>329</v>
      </c>
      <c r="E313" t="s">
        <v>24</v>
      </c>
      <c r="F313">
        <v>7.65</v>
      </c>
      <c r="G313" t="s">
        <v>61</v>
      </c>
      <c r="H313">
        <v>74.825100000000006</v>
      </c>
      <c r="I313">
        <v>-1199688.94</v>
      </c>
      <c r="J313" t="s">
        <v>48</v>
      </c>
      <c r="K313">
        <v>5617693988</v>
      </c>
      <c r="L313" t="s">
        <v>49</v>
      </c>
      <c r="M313" t="s">
        <v>121</v>
      </c>
      <c r="N313" t="s">
        <v>222</v>
      </c>
      <c r="O313" t="s">
        <v>100</v>
      </c>
      <c r="P313" t="s">
        <v>59</v>
      </c>
      <c r="Q313">
        <v>619559</v>
      </c>
      <c r="R313" t="s">
        <v>1835</v>
      </c>
      <c r="S313" t="s">
        <v>330</v>
      </c>
      <c r="T313">
        <v>-4747629031</v>
      </c>
      <c r="U313" t="s">
        <v>34</v>
      </c>
      <c r="V313" t="s">
        <v>2475</v>
      </c>
      <c r="W313" s="1">
        <v>43134</v>
      </c>
    </row>
    <row r="314" spans="1:23" x14ac:dyDescent="0.25">
      <c r="A314" t="s">
        <v>1837</v>
      </c>
      <c r="B314" s="1">
        <v>45996</v>
      </c>
      <c r="C314" t="s">
        <v>1838</v>
      </c>
      <c r="D314" t="s">
        <v>405</v>
      </c>
      <c r="E314" t="s">
        <v>24</v>
      </c>
      <c r="F314">
        <v>42.85</v>
      </c>
      <c r="G314" t="s">
        <v>66</v>
      </c>
      <c r="H314">
        <v>1</v>
      </c>
      <c r="I314">
        <v>-1640339.49</v>
      </c>
      <c r="J314" t="s">
        <v>67</v>
      </c>
      <c r="K314">
        <v>9339236032</v>
      </c>
      <c r="L314" t="s">
        <v>178</v>
      </c>
      <c r="M314" t="s">
        <v>147</v>
      </c>
      <c r="N314" t="s">
        <v>155</v>
      </c>
      <c r="O314" t="s">
        <v>70</v>
      </c>
      <c r="P314" t="s">
        <v>75</v>
      </c>
      <c r="Q314">
        <v>100182</v>
      </c>
      <c r="R314" t="s">
        <v>1450</v>
      </c>
      <c r="S314" t="s">
        <v>1839</v>
      </c>
      <c r="T314">
        <v>-8505448421</v>
      </c>
      <c r="U314" t="s">
        <v>34</v>
      </c>
      <c r="V314" t="s">
        <v>2478</v>
      </c>
      <c r="W314" s="1">
        <v>44347</v>
      </c>
    </row>
    <row r="315" spans="1:23" x14ac:dyDescent="0.25">
      <c r="A315" t="s">
        <v>1840</v>
      </c>
      <c r="B315" s="1">
        <v>45933</v>
      </c>
      <c r="C315" t="s">
        <v>1841</v>
      </c>
      <c r="D315" t="s">
        <v>208</v>
      </c>
      <c r="E315" t="s">
        <v>24</v>
      </c>
      <c r="F315">
        <v>4.7</v>
      </c>
      <c r="G315" t="s">
        <v>66</v>
      </c>
      <c r="H315">
        <v>1</v>
      </c>
      <c r="I315">
        <v>-276325.38</v>
      </c>
      <c r="J315" t="s">
        <v>91</v>
      </c>
      <c r="K315">
        <v>-7019164318</v>
      </c>
      <c r="L315" t="s">
        <v>92</v>
      </c>
      <c r="M315" t="s">
        <v>77</v>
      </c>
      <c r="N315" t="s">
        <v>78</v>
      </c>
      <c r="O315" t="s">
        <v>52</v>
      </c>
      <c r="P315" t="s">
        <v>75</v>
      </c>
      <c r="Q315">
        <v>692179</v>
      </c>
      <c r="R315" t="s">
        <v>1842</v>
      </c>
      <c r="S315" t="s">
        <v>1515</v>
      </c>
      <c r="T315">
        <v>5014781392</v>
      </c>
      <c r="U315" t="s">
        <v>34</v>
      </c>
      <c r="V315" t="s">
        <v>2476</v>
      </c>
      <c r="W315" s="1">
        <v>44994</v>
      </c>
    </row>
    <row r="316" spans="1:23" x14ac:dyDescent="0.25">
      <c r="A316" t="s">
        <v>1844</v>
      </c>
      <c r="B316" s="1">
        <v>45999</v>
      </c>
      <c r="C316" t="s">
        <v>1845</v>
      </c>
      <c r="D316" t="s">
        <v>724</v>
      </c>
      <c r="E316" t="s">
        <v>24</v>
      </c>
      <c r="F316">
        <v>37.42</v>
      </c>
      <c r="G316" t="s">
        <v>61</v>
      </c>
      <c r="H316">
        <v>80.148600000000002</v>
      </c>
      <c r="I316">
        <v>-1214370.56</v>
      </c>
      <c r="J316" t="s">
        <v>102</v>
      </c>
      <c r="K316">
        <v>8613675786</v>
      </c>
      <c r="L316" t="s">
        <v>150</v>
      </c>
      <c r="M316" t="s">
        <v>57</v>
      </c>
      <c r="N316" t="s">
        <v>209</v>
      </c>
      <c r="O316" t="s">
        <v>100</v>
      </c>
      <c r="P316" t="s">
        <v>59</v>
      </c>
      <c r="Q316">
        <v>509492</v>
      </c>
      <c r="R316" t="s">
        <v>1846</v>
      </c>
      <c r="S316" t="s">
        <v>1847</v>
      </c>
      <c r="T316">
        <v>3193365418</v>
      </c>
      <c r="U316" t="s">
        <v>34</v>
      </c>
      <c r="V316" t="s">
        <v>2475</v>
      </c>
      <c r="W316" s="1">
        <v>2019</v>
      </c>
    </row>
    <row r="317" spans="1:23" x14ac:dyDescent="0.25">
      <c r="A317" t="s">
        <v>1848</v>
      </c>
      <c r="B317" s="1">
        <v>45569</v>
      </c>
      <c r="C317" t="s">
        <v>1849</v>
      </c>
      <c r="D317" t="s">
        <v>689</v>
      </c>
      <c r="E317" t="s">
        <v>55</v>
      </c>
      <c r="F317">
        <v>13.26</v>
      </c>
      <c r="G317" t="s">
        <v>66</v>
      </c>
      <c r="H317">
        <v>1</v>
      </c>
      <c r="I317">
        <v>-1198171.55</v>
      </c>
      <c r="J317" t="s">
        <v>96</v>
      </c>
      <c r="K317">
        <v>1871974077</v>
      </c>
      <c r="L317" t="s">
        <v>97</v>
      </c>
      <c r="M317" t="s">
        <v>28</v>
      </c>
      <c r="N317" t="s">
        <v>29</v>
      </c>
      <c r="O317" t="s">
        <v>100</v>
      </c>
      <c r="P317" t="s">
        <v>31</v>
      </c>
      <c r="Q317">
        <v>529322</v>
      </c>
      <c r="R317" t="s">
        <v>1850</v>
      </c>
      <c r="S317" t="s">
        <v>690</v>
      </c>
      <c r="T317">
        <v>2753028835</v>
      </c>
      <c r="U317" t="s">
        <v>34</v>
      </c>
      <c r="V317" t="s">
        <v>2474</v>
      </c>
      <c r="W317" s="1">
        <v>2026</v>
      </c>
    </row>
    <row r="318" spans="1:23" x14ac:dyDescent="0.25">
      <c r="A318" t="s">
        <v>1851</v>
      </c>
      <c r="B318" s="1">
        <v>45573</v>
      </c>
      <c r="C318" t="s">
        <v>197</v>
      </c>
      <c r="D318" t="s">
        <v>54</v>
      </c>
      <c r="E318" t="s">
        <v>24</v>
      </c>
      <c r="F318">
        <v>22.34</v>
      </c>
      <c r="G318" t="s">
        <v>56</v>
      </c>
      <c r="H318">
        <v>20.6358</v>
      </c>
      <c r="I318">
        <v>-1198878.3799999999</v>
      </c>
      <c r="J318" t="s">
        <v>116</v>
      </c>
      <c r="K318">
        <v>3419484180</v>
      </c>
      <c r="L318" t="s">
        <v>134</v>
      </c>
      <c r="M318" t="s">
        <v>28</v>
      </c>
      <c r="N318" t="s">
        <v>29</v>
      </c>
      <c r="O318" t="s">
        <v>30</v>
      </c>
      <c r="P318" t="s">
        <v>71</v>
      </c>
      <c r="Q318">
        <v>253653</v>
      </c>
      <c r="R318" t="s">
        <v>1852</v>
      </c>
      <c r="S318" t="s">
        <v>1853</v>
      </c>
      <c r="T318">
        <v>7246318418</v>
      </c>
      <c r="U318" t="s">
        <v>34</v>
      </c>
      <c r="V318" t="s">
        <v>2474</v>
      </c>
      <c r="W318" s="1">
        <v>46082</v>
      </c>
    </row>
    <row r="319" spans="1:23" x14ac:dyDescent="0.25">
      <c r="A319" t="s">
        <v>1855</v>
      </c>
      <c r="B319" s="1">
        <v>44937</v>
      </c>
      <c r="C319" t="s">
        <v>1856</v>
      </c>
      <c r="D319" t="s">
        <v>104</v>
      </c>
      <c r="E319" t="s">
        <v>73</v>
      </c>
      <c r="F319">
        <v>11.34</v>
      </c>
      <c r="G319" t="s">
        <v>61</v>
      </c>
      <c r="H319">
        <v>73.381699999999995</v>
      </c>
      <c r="I319">
        <v>-2118198.92</v>
      </c>
      <c r="J319" t="s">
        <v>38</v>
      </c>
      <c r="K319">
        <v>215016757</v>
      </c>
      <c r="L319" t="s">
        <v>39</v>
      </c>
      <c r="M319" t="s">
        <v>28</v>
      </c>
      <c r="N319" t="s">
        <v>29</v>
      </c>
      <c r="O319" t="s">
        <v>100</v>
      </c>
      <c r="P319" t="s">
        <v>126</v>
      </c>
      <c r="Q319">
        <v>212795</v>
      </c>
      <c r="R319" t="s">
        <v>992</v>
      </c>
      <c r="S319" t="s">
        <v>1184</v>
      </c>
      <c r="T319">
        <v>-211786641</v>
      </c>
      <c r="U319" t="s">
        <v>34</v>
      </c>
      <c r="V319" t="s">
        <v>2473</v>
      </c>
      <c r="W319" s="1">
        <v>44409</v>
      </c>
    </row>
    <row r="320" spans="1:23" x14ac:dyDescent="0.25">
      <c r="A320" t="s">
        <v>1857</v>
      </c>
      <c r="B320" s="1">
        <v>45904</v>
      </c>
      <c r="C320" t="s">
        <v>1858</v>
      </c>
      <c r="D320" t="s">
        <v>830</v>
      </c>
      <c r="E320" t="s">
        <v>24</v>
      </c>
      <c r="F320">
        <v>19.489999999999998</v>
      </c>
      <c r="G320" t="s">
        <v>47</v>
      </c>
      <c r="H320">
        <v>105.9195</v>
      </c>
      <c r="I320">
        <v>-2825028.88</v>
      </c>
      <c r="J320" t="s">
        <v>62</v>
      </c>
      <c r="K320">
        <v>9527347249</v>
      </c>
      <c r="L320" t="s">
        <v>131</v>
      </c>
      <c r="M320" t="s">
        <v>77</v>
      </c>
      <c r="N320" t="s">
        <v>78</v>
      </c>
      <c r="O320" t="s">
        <v>30</v>
      </c>
      <c r="P320" t="s">
        <v>93</v>
      </c>
      <c r="Q320">
        <v>854522</v>
      </c>
      <c r="R320" t="s">
        <v>1859</v>
      </c>
      <c r="S320" t="s">
        <v>901</v>
      </c>
      <c r="T320">
        <v>5334187609</v>
      </c>
      <c r="U320" t="s">
        <v>34</v>
      </c>
      <c r="V320" t="s">
        <v>2475</v>
      </c>
      <c r="W320" s="1">
        <v>2023</v>
      </c>
    </row>
    <row r="321" spans="1:23" x14ac:dyDescent="0.25">
      <c r="A321" t="s">
        <v>1861</v>
      </c>
      <c r="B321" s="1">
        <v>45845</v>
      </c>
      <c r="C321" t="s">
        <v>1862</v>
      </c>
      <c r="D321" t="s">
        <v>464</v>
      </c>
      <c r="E321" t="s">
        <v>24</v>
      </c>
      <c r="F321">
        <v>15.5</v>
      </c>
      <c r="G321" t="s">
        <v>47</v>
      </c>
      <c r="H321">
        <v>95.064899999999994</v>
      </c>
      <c r="I321">
        <v>-2231568.5299999998</v>
      </c>
      <c r="J321" t="s">
        <v>128</v>
      </c>
      <c r="K321">
        <v>6267596434</v>
      </c>
      <c r="L321" t="s">
        <v>129</v>
      </c>
      <c r="M321" t="s">
        <v>57</v>
      </c>
      <c r="N321" t="s">
        <v>209</v>
      </c>
      <c r="O321" t="s">
        <v>70</v>
      </c>
      <c r="P321" t="s">
        <v>53</v>
      </c>
      <c r="Q321">
        <v>608902</v>
      </c>
      <c r="R321" t="s">
        <v>1863</v>
      </c>
      <c r="S321" t="s">
        <v>1864</v>
      </c>
      <c r="T321">
        <v>6176124472</v>
      </c>
      <c r="U321" t="s">
        <v>34</v>
      </c>
      <c r="V321" t="s">
        <v>2472</v>
      </c>
      <c r="W321" s="1">
        <v>42459</v>
      </c>
    </row>
    <row r="322" spans="1:23" x14ac:dyDescent="0.25">
      <c r="A322" t="s">
        <v>1865</v>
      </c>
      <c r="B322" s="1">
        <v>45870</v>
      </c>
      <c r="C322" t="s">
        <v>1866</v>
      </c>
      <c r="D322" t="s">
        <v>543</v>
      </c>
      <c r="E322" t="s">
        <v>24</v>
      </c>
      <c r="F322">
        <v>23.01</v>
      </c>
      <c r="G322" t="s">
        <v>47</v>
      </c>
      <c r="H322">
        <v>103.07210000000001</v>
      </c>
      <c r="I322">
        <v>-2464198.0299999998</v>
      </c>
      <c r="J322" t="s">
        <v>67</v>
      </c>
      <c r="K322">
        <v>486885867</v>
      </c>
      <c r="L322" t="s">
        <v>178</v>
      </c>
      <c r="M322" t="s">
        <v>28</v>
      </c>
      <c r="N322" t="s">
        <v>29</v>
      </c>
      <c r="O322" t="s">
        <v>70</v>
      </c>
      <c r="P322" t="s">
        <v>71</v>
      </c>
      <c r="Q322">
        <v>453</v>
      </c>
      <c r="R322" t="s">
        <v>1867</v>
      </c>
      <c r="S322" t="s">
        <v>1004</v>
      </c>
      <c r="T322">
        <v>7178791439</v>
      </c>
      <c r="U322" t="s">
        <v>34</v>
      </c>
      <c r="V322" t="s">
        <v>2478</v>
      </c>
      <c r="W322" s="1">
        <v>45261</v>
      </c>
    </row>
    <row r="323" spans="1:23" x14ac:dyDescent="0.25">
      <c r="A323" t="s">
        <v>1869</v>
      </c>
      <c r="B323" s="1">
        <v>45809</v>
      </c>
      <c r="C323" t="s">
        <v>1860</v>
      </c>
      <c r="D323" t="s">
        <v>254</v>
      </c>
      <c r="E323" t="s">
        <v>24</v>
      </c>
      <c r="F323">
        <v>9.66</v>
      </c>
      <c r="G323" t="s">
        <v>61</v>
      </c>
      <c r="H323">
        <v>80.866200000000006</v>
      </c>
      <c r="I323">
        <v>-1809251.87</v>
      </c>
      <c r="J323" t="s">
        <v>81</v>
      </c>
      <c r="K323">
        <v>7607360557</v>
      </c>
      <c r="L323" t="s">
        <v>82</v>
      </c>
      <c r="M323" t="s">
        <v>57</v>
      </c>
      <c r="N323" t="s">
        <v>63</v>
      </c>
      <c r="O323" t="s">
        <v>42</v>
      </c>
      <c r="P323" t="s">
        <v>107</v>
      </c>
      <c r="Q323">
        <v>137902</v>
      </c>
      <c r="R323" t="s">
        <v>1870</v>
      </c>
      <c r="S323" t="s">
        <v>1871</v>
      </c>
      <c r="T323">
        <v>4964034765</v>
      </c>
      <c r="U323" t="s">
        <v>34</v>
      </c>
      <c r="V323" t="s">
        <v>2474</v>
      </c>
      <c r="W323" s="1">
        <v>42376</v>
      </c>
    </row>
    <row r="324" spans="1:23" x14ac:dyDescent="0.25">
      <c r="A324" t="s">
        <v>1873</v>
      </c>
      <c r="B324" s="1">
        <v>45421</v>
      </c>
      <c r="C324" t="s">
        <v>1874</v>
      </c>
      <c r="D324" t="s">
        <v>999</v>
      </c>
      <c r="E324" t="s">
        <v>24</v>
      </c>
      <c r="F324">
        <v>11.96</v>
      </c>
      <c r="G324" t="s">
        <v>61</v>
      </c>
      <c r="H324">
        <v>77.989800000000002</v>
      </c>
      <c r="I324">
        <v>-1624202.34</v>
      </c>
      <c r="J324" t="s">
        <v>62</v>
      </c>
      <c r="K324">
        <v>8111683447</v>
      </c>
      <c r="L324" t="s">
        <v>131</v>
      </c>
      <c r="M324" t="s">
        <v>40</v>
      </c>
      <c r="N324" t="s">
        <v>139</v>
      </c>
      <c r="O324" t="s">
        <v>100</v>
      </c>
      <c r="P324" t="s">
        <v>53</v>
      </c>
      <c r="Q324">
        <v>954385</v>
      </c>
      <c r="R324" t="s">
        <v>1875</v>
      </c>
      <c r="S324" t="s">
        <v>1066</v>
      </c>
      <c r="T324">
        <v>-1647002540</v>
      </c>
      <c r="U324" t="s">
        <v>34</v>
      </c>
      <c r="V324" t="s">
        <v>2473</v>
      </c>
      <c r="W324" s="1">
        <v>42767</v>
      </c>
    </row>
    <row r="325" spans="1:23" x14ac:dyDescent="0.25">
      <c r="A325" t="s">
        <v>1877</v>
      </c>
      <c r="B325" s="1">
        <v>45873</v>
      </c>
      <c r="C325" t="s">
        <v>1878</v>
      </c>
      <c r="D325" t="s">
        <v>249</v>
      </c>
      <c r="E325" t="s">
        <v>24</v>
      </c>
      <c r="F325">
        <v>47.98</v>
      </c>
      <c r="G325" t="s">
        <v>47</v>
      </c>
      <c r="H325">
        <v>102.1752</v>
      </c>
      <c r="I325">
        <v>-2607529.0099999998</v>
      </c>
      <c r="J325" t="s">
        <v>96</v>
      </c>
      <c r="K325">
        <v>2247871021</v>
      </c>
      <c r="L325" t="s">
        <v>97</v>
      </c>
      <c r="M325" t="s">
        <v>87</v>
      </c>
      <c r="N325" t="s">
        <v>88</v>
      </c>
      <c r="O325" t="s">
        <v>42</v>
      </c>
      <c r="P325" t="s">
        <v>126</v>
      </c>
      <c r="Q325">
        <v>641796</v>
      </c>
      <c r="R325" t="s">
        <v>1879</v>
      </c>
      <c r="S325" t="s">
        <v>1880</v>
      </c>
      <c r="T325">
        <v>3413322508</v>
      </c>
      <c r="U325" t="s">
        <v>34</v>
      </c>
      <c r="V325" t="s">
        <v>2478</v>
      </c>
      <c r="W325" s="1">
        <v>44101</v>
      </c>
    </row>
    <row r="326" spans="1:23" x14ac:dyDescent="0.25">
      <c r="A326" t="s">
        <v>1881</v>
      </c>
      <c r="B326" s="1">
        <v>45569</v>
      </c>
      <c r="C326" t="s">
        <v>1882</v>
      </c>
      <c r="D326" t="s">
        <v>308</v>
      </c>
      <c r="E326" t="s">
        <v>24</v>
      </c>
      <c r="F326">
        <v>-220.67</v>
      </c>
      <c r="G326" t="s">
        <v>56</v>
      </c>
      <c r="H326">
        <v>19.951499999999999</v>
      </c>
      <c r="I326">
        <v>-1214741.3700000001</v>
      </c>
      <c r="J326" t="s">
        <v>81</v>
      </c>
      <c r="K326">
        <v>6182057347</v>
      </c>
      <c r="L326" t="s">
        <v>82</v>
      </c>
      <c r="M326" t="s">
        <v>77</v>
      </c>
      <c r="N326" t="s">
        <v>307</v>
      </c>
      <c r="O326" t="s">
        <v>30</v>
      </c>
      <c r="P326" t="s">
        <v>93</v>
      </c>
      <c r="Q326">
        <v>124242</v>
      </c>
      <c r="R326" t="s">
        <v>1883</v>
      </c>
      <c r="S326" t="s">
        <v>1884</v>
      </c>
      <c r="T326">
        <v>8176647157</v>
      </c>
      <c r="U326" t="s">
        <v>34</v>
      </c>
      <c r="V326" t="s">
        <v>2472</v>
      </c>
      <c r="W326" s="1">
        <v>42156</v>
      </c>
    </row>
    <row r="327" spans="1:23" x14ac:dyDescent="0.25">
      <c r="A327" t="s">
        <v>1885</v>
      </c>
      <c r="B327" s="1">
        <v>45724</v>
      </c>
      <c r="C327" t="s">
        <v>1886</v>
      </c>
      <c r="D327" t="s">
        <v>689</v>
      </c>
      <c r="E327" t="s">
        <v>73</v>
      </c>
      <c r="F327">
        <v>18.940000000000001</v>
      </c>
      <c r="G327" t="s">
        <v>66</v>
      </c>
      <c r="H327">
        <v>1</v>
      </c>
      <c r="I327">
        <v>-1616999.69</v>
      </c>
      <c r="J327" t="s">
        <v>48</v>
      </c>
      <c r="K327">
        <v>3905398363</v>
      </c>
      <c r="L327" t="s">
        <v>49</v>
      </c>
      <c r="M327" t="s">
        <v>83</v>
      </c>
      <c r="N327" t="s">
        <v>84</v>
      </c>
      <c r="O327" t="s">
        <v>52</v>
      </c>
      <c r="P327" t="s">
        <v>107</v>
      </c>
      <c r="Q327">
        <v>770054</v>
      </c>
      <c r="R327" t="s">
        <v>1887</v>
      </c>
      <c r="S327" t="s">
        <v>1888</v>
      </c>
      <c r="T327">
        <v>-5407013920</v>
      </c>
      <c r="U327" t="s">
        <v>34</v>
      </c>
      <c r="V327" t="s">
        <v>2474</v>
      </c>
      <c r="W327" s="1">
        <v>43435</v>
      </c>
    </row>
    <row r="328" spans="1:23" x14ac:dyDescent="0.25">
      <c r="A328" t="s">
        <v>1889</v>
      </c>
      <c r="B328" s="1">
        <v>45510</v>
      </c>
      <c r="C328" t="s">
        <v>1153</v>
      </c>
      <c r="D328" t="s">
        <v>462</v>
      </c>
      <c r="E328" t="s">
        <v>73</v>
      </c>
      <c r="F328">
        <v>12.95</v>
      </c>
      <c r="G328" t="s">
        <v>56</v>
      </c>
      <c r="H328">
        <v>21.450700000000001</v>
      </c>
      <c r="I328">
        <v>-2873378.6</v>
      </c>
      <c r="J328" t="s">
        <v>116</v>
      </c>
      <c r="K328">
        <v>3180444546</v>
      </c>
      <c r="L328" t="s">
        <v>134</v>
      </c>
      <c r="M328" t="s">
        <v>68</v>
      </c>
      <c r="N328" t="s">
        <v>114</v>
      </c>
      <c r="O328" t="s">
        <v>100</v>
      </c>
      <c r="P328" t="s">
        <v>53</v>
      </c>
      <c r="Q328">
        <v>474</v>
      </c>
      <c r="R328" t="s">
        <v>1890</v>
      </c>
      <c r="S328" t="s">
        <v>988</v>
      </c>
      <c r="T328">
        <v>4074909435</v>
      </c>
      <c r="U328" t="s">
        <v>34</v>
      </c>
      <c r="V328" t="s">
        <v>2476</v>
      </c>
      <c r="W328" s="1">
        <v>45536</v>
      </c>
    </row>
    <row r="329" spans="1:23" x14ac:dyDescent="0.25">
      <c r="A329" t="s">
        <v>1891</v>
      </c>
      <c r="B329" s="1">
        <v>45453</v>
      </c>
      <c r="C329" t="s">
        <v>1664</v>
      </c>
      <c r="D329" t="s">
        <v>336</v>
      </c>
      <c r="E329" t="s">
        <v>24</v>
      </c>
      <c r="F329">
        <v>16.11</v>
      </c>
      <c r="G329" t="s">
        <v>56</v>
      </c>
      <c r="H329">
        <v>21.846599999999999</v>
      </c>
      <c r="I329">
        <v>-1269869.8</v>
      </c>
      <c r="J329" t="s">
        <v>74</v>
      </c>
      <c r="K329">
        <v>8728308791</v>
      </c>
      <c r="L329" t="s">
        <v>105</v>
      </c>
      <c r="M329" t="s">
        <v>68</v>
      </c>
      <c r="N329" t="s">
        <v>114</v>
      </c>
      <c r="O329" t="s">
        <v>30</v>
      </c>
      <c r="P329" t="s">
        <v>75</v>
      </c>
      <c r="Q329">
        <v>894935</v>
      </c>
      <c r="R329" t="s">
        <v>1892</v>
      </c>
      <c r="S329" t="s">
        <v>449</v>
      </c>
      <c r="T329">
        <v>1642660304</v>
      </c>
      <c r="U329" t="s">
        <v>34</v>
      </c>
      <c r="V329" t="s">
        <v>2476</v>
      </c>
      <c r="W329" s="1">
        <v>43221</v>
      </c>
    </row>
    <row r="330" spans="1:23" x14ac:dyDescent="0.25">
      <c r="A330" t="s">
        <v>1885</v>
      </c>
      <c r="B330" s="1">
        <v>45481</v>
      </c>
      <c r="C330" t="s">
        <v>1886</v>
      </c>
      <c r="D330" t="s">
        <v>689</v>
      </c>
      <c r="E330" t="s">
        <v>73</v>
      </c>
      <c r="F330">
        <v>18.940000000000001</v>
      </c>
      <c r="G330" t="s">
        <v>66</v>
      </c>
      <c r="H330">
        <v>1</v>
      </c>
      <c r="I330">
        <v>-1616999.69</v>
      </c>
      <c r="J330" t="s">
        <v>48</v>
      </c>
      <c r="K330">
        <v>3905398363</v>
      </c>
      <c r="L330" t="s">
        <v>49</v>
      </c>
      <c r="M330" t="s">
        <v>83</v>
      </c>
      <c r="N330" t="s">
        <v>84</v>
      </c>
      <c r="O330" t="s">
        <v>52</v>
      </c>
      <c r="P330" t="s">
        <v>107</v>
      </c>
      <c r="Q330">
        <v>770054</v>
      </c>
      <c r="R330" t="s">
        <v>1887</v>
      </c>
      <c r="S330" t="s">
        <v>1888</v>
      </c>
      <c r="T330">
        <v>-5407013920</v>
      </c>
      <c r="U330" t="s">
        <v>34</v>
      </c>
      <c r="V330" t="s">
        <v>2474</v>
      </c>
      <c r="W330" s="1">
        <v>43435</v>
      </c>
    </row>
    <row r="331" spans="1:23" x14ac:dyDescent="0.25">
      <c r="A331" t="s">
        <v>1893</v>
      </c>
      <c r="B331" s="1">
        <v>45573</v>
      </c>
      <c r="C331" t="s">
        <v>1894</v>
      </c>
      <c r="D331" t="s">
        <v>123</v>
      </c>
      <c r="E331" t="s">
        <v>24</v>
      </c>
      <c r="F331">
        <v>19.39</v>
      </c>
      <c r="G331" t="s">
        <v>66</v>
      </c>
      <c r="H331">
        <v>1</v>
      </c>
      <c r="I331">
        <v>-2231728.65</v>
      </c>
      <c r="J331" t="s">
        <v>96</v>
      </c>
      <c r="K331">
        <v>3925611781</v>
      </c>
      <c r="L331" t="s">
        <v>97</v>
      </c>
      <c r="M331" t="s">
        <v>121</v>
      </c>
      <c r="N331" t="s">
        <v>222</v>
      </c>
      <c r="O331" t="s">
        <v>52</v>
      </c>
      <c r="P331" t="s">
        <v>75</v>
      </c>
      <c r="Q331">
        <v>473009</v>
      </c>
      <c r="R331" t="s">
        <v>1895</v>
      </c>
      <c r="S331" t="s">
        <v>1429</v>
      </c>
      <c r="T331">
        <v>8788491293</v>
      </c>
      <c r="U331" t="s">
        <v>34</v>
      </c>
      <c r="V331" t="s">
        <v>2474</v>
      </c>
      <c r="W331" s="1">
        <v>2016</v>
      </c>
    </row>
    <row r="332" spans="1:23" x14ac:dyDescent="0.25">
      <c r="A332" t="s">
        <v>1897</v>
      </c>
      <c r="B332" s="1">
        <v>45302</v>
      </c>
      <c r="C332" t="s">
        <v>1898</v>
      </c>
      <c r="D332" t="s">
        <v>377</v>
      </c>
      <c r="E332" t="s">
        <v>73</v>
      </c>
      <c r="F332">
        <v>22.3</v>
      </c>
      <c r="G332" t="s">
        <v>66</v>
      </c>
      <c r="H332">
        <v>1</v>
      </c>
      <c r="I332">
        <v>-1561380.68</v>
      </c>
      <c r="J332" t="s">
        <v>86</v>
      </c>
      <c r="K332">
        <v>856038384</v>
      </c>
      <c r="L332" t="s">
        <v>181</v>
      </c>
      <c r="M332" t="s">
        <v>50</v>
      </c>
      <c r="N332" t="s">
        <v>111</v>
      </c>
      <c r="O332" t="s">
        <v>79</v>
      </c>
      <c r="P332" t="s">
        <v>75</v>
      </c>
      <c r="Q332">
        <v>548229</v>
      </c>
      <c r="R332" t="s">
        <v>1899</v>
      </c>
      <c r="S332" t="s">
        <v>905</v>
      </c>
      <c r="T332">
        <v>1871974077</v>
      </c>
      <c r="U332" t="s">
        <v>34</v>
      </c>
      <c r="V332" t="s">
        <v>2472</v>
      </c>
      <c r="W332" s="1">
        <v>45757</v>
      </c>
    </row>
    <row r="333" spans="1:23" x14ac:dyDescent="0.25">
      <c r="A333" t="s">
        <v>1900</v>
      </c>
      <c r="B333" s="1">
        <v>45878</v>
      </c>
      <c r="C333" t="s">
        <v>1901</v>
      </c>
      <c r="D333" t="s">
        <v>399</v>
      </c>
      <c r="E333" t="s">
        <v>55</v>
      </c>
      <c r="F333">
        <v>19.09</v>
      </c>
      <c r="G333" t="s">
        <v>66</v>
      </c>
      <c r="H333">
        <v>1</v>
      </c>
      <c r="I333">
        <v>-542297.59999999998</v>
      </c>
      <c r="J333" t="s">
        <v>48</v>
      </c>
      <c r="K333">
        <v>1895403795</v>
      </c>
      <c r="L333" t="s">
        <v>49</v>
      </c>
      <c r="M333" t="s">
        <v>40</v>
      </c>
      <c r="N333" t="s">
        <v>139</v>
      </c>
      <c r="O333" t="s">
        <v>70</v>
      </c>
      <c r="P333" t="s">
        <v>153</v>
      </c>
      <c r="Q333">
        <v>202787</v>
      </c>
      <c r="R333" t="s">
        <v>1902</v>
      </c>
      <c r="S333" t="s">
        <v>438</v>
      </c>
      <c r="T333">
        <v>577205778</v>
      </c>
      <c r="U333" t="s">
        <v>34</v>
      </c>
      <c r="V333" t="s">
        <v>2476</v>
      </c>
      <c r="W333" s="1">
        <v>43983</v>
      </c>
    </row>
    <row r="334" spans="1:23" x14ac:dyDescent="0.25">
      <c r="A334" t="s">
        <v>1903</v>
      </c>
      <c r="B334" s="1">
        <v>45292</v>
      </c>
      <c r="C334" t="s">
        <v>1904</v>
      </c>
      <c r="D334" t="s">
        <v>303</v>
      </c>
      <c r="E334" t="s">
        <v>55</v>
      </c>
      <c r="F334">
        <v>44.87</v>
      </c>
      <c r="G334" t="s">
        <v>61</v>
      </c>
      <c r="H334">
        <v>78.8613</v>
      </c>
      <c r="I334">
        <v>-1617225.33</v>
      </c>
      <c r="J334" t="s">
        <v>86</v>
      </c>
      <c r="K334">
        <v>2967086736</v>
      </c>
      <c r="L334" t="s">
        <v>181</v>
      </c>
      <c r="M334" t="s">
        <v>40</v>
      </c>
      <c r="N334" t="s">
        <v>106</v>
      </c>
      <c r="O334" t="s">
        <v>42</v>
      </c>
      <c r="P334" t="s">
        <v>153</v>
      </c>
      <c r="Q334">
        <v>301050</v>
      </c>
      <c r="R334" t="s">
        <v>1905</v>
      </c>
      <c r="S334" t="s">
        <v>798</v>
      </c>
      <c r="T334">
        <v>473912950</v>
      </c>
      <c r="U334" t="s">
        <v>34</v>
      </c>
      <c r="V334" t="s">
        <v>2477</v>
      </c>
      <c r="W334" s="1">
        <v>45017</v>
      </c>
    </row>
    <row r="335" spans="1:23" x14ac:dyDescent="0.25">
      <c r="A335" t="s">
        <v>1908</v>
      </c>
      <c r="B335" s="1">
        <v>45935</v>
      </c>
      <c r="C335" t="s">
        <v>1909</v>
      </c>
      <c r="D335" t="s">
        <v>161</v>
      </c>
      <c r="E335" t="s">
        <v>55</v>
      </c>
      <c r="F335">
        <v>28.55</v>
      </c>
      <c r="G335" t="s">
        <v>61</v>
      </c>
      <c r="H335">
        <v>77.644599999999997</v>
      </c>
      <c r="I335">
        <v>-2118415.8199999998</v>
      </c>
      <c r="J335" t="s">
        <v>26</v>
      </c>
      <c r="K335">
        <v>7351797057</v>
      </c>
      <c r="L335" t="s">
        <v>27</v>
      </c>
      <c r="M335" t="s">
        <v>50</v>
      </c>
      <c r="N335" t="s">
        <v>51</v>
      </c>
      <c r="O335" t="s">
        <v>100</v>
      </c>
      <c r="P335" t="s">
        <v>59</v>
      </c>
      <c r="Q335">
        <v>737515</v>
      </c>
      <c r="R335">
        <v>4992230000000000</v>
      </c>
      <c r="S335" t="s">
        <v>162</v>
      </c>
      <c r="T335">
        <v>4773924356</v>
      </c>
      <c r="U335" t="s">
        <v>34</v>
      </c>
      <c r="V335" t="s">
        <v>2477</v>
      </c>
      <c r="W335" s="1">
        <v>2015</v>
      </c>
    </row>
    <row r="336" spans="1:23" x14ac:dyDescent="0.25">
      <c r="A336" t="s">
        <v>1911</v>
      </c>
      <c r="B336" s="1">
        <v>45750</v>
      </c>
      <c r="C336" t="s">
        <v>1912</v>
      </c>
      <c r="D336" t="s">
        <v>387</v>
      </c>
      <c r="E336" t="s">
        <v>73</v>
      </c>
      <c r="F336">
        <v>41.78</v>
      </c>
      <c r="G336" t="s">
        <v>61</v>
      </c>
      <c r="H336">
        <v>82.966899999999995</v>
      </c>
      <c r="I336">
        <v>-1199065.06</v>
      </c>
      <c r="J336" t="s">
        <v>38</v>
      </c>
      <c r="K336">
        <v>3305875638</v>
      </c>
      <c r="L336" t="s">
        <v>39</v>
      </c>
      <c r="M336" t="s">
        <v>83</v>
      </c>
      <c r="N336" t="s">
        <v>117</v>
      </c>
      <c r="O336" t="s">
        <v>70</v>
      </c>
      <c r="P336" t="s">
        <v>107</v>
      </c>
      <c r="Q336">
        <v>690</v>
      </c>
      <c r="R336">
        <v>4817460000000000</v>
      </c>
      <c r="S336" t="s">
        <v>388</v>
      </c>
      <c r="T336">
        <v>6585042040</v>
      </c>
      <c r="U336" t="s">
        <v>34</v>
      </c>
      <c r="V336" t="s">
        <v>2475</v>
      </c>
      <c r="W336" s="1">
        <v>43446</v>
      </c>
    </row>
    <row r="337" spans="1:23" x14ac:dyDescent="0.25">
      <c r="A337" t="s">
        <v>1913</v>
      </c>
      <c r="B337" s="1">
        <v>45666</v>
      </c>
      <c r="C337" t="s">
        <v>1914</v>
      </c>
      <c r="D337" t="s">
        <v>439</v>
      </c>
      <c r="E337" t="s">
        <v>24</v>
      </c>
      <c r="F337">
        <v>5.93</v>
      </c>
      <c r="G337" t="s">
        <v>66</v>
      </c>
      <c r="H337">
        <v>1</v>
      </c>
      <c r="I337">
        <v>-2428056.4300000002</v>
      </c>
      <c r="J337" t="s">
        <v>38</v>
      </c>
      <c r="K337">
        <v>1127443428</v>
      </c>
      <c r="L337" t="s">
        <v>39</v>
      </c>
      <c r="M337" t="s">
        <v>77</v>
      </c>
      <c r="N337" t="s">
        <v>307</v>
      </c>
      <c r="O337" t="s">
        <v>42</v>
      </c>
      <c r="P337" t="s">
        <v>153</v>
      </c>
      <c r="Q337">
        <v>382353</v>
      </c>
      <c r="R337" t="s">
        <v>1915</v>
      </c>
      <c r="S337" t="s">
        <v>1423</v>
      </c>
      <c r="T337">
        <v>4853405684</v>
      </c>
      <c r="U337" t="s">
        <v>34</v>
      </c>
      <c r="V337" t="s">
        <v>2473</v>
      </c>
      <c r="W337" s="1">
        <v>2024</v>
      </c>
    </row>
    <row r="338" spans="1:23" x14ac:dyDescent="0.25">
      <c r="A338" t="s">
        <v>1917</v>
      </c>
      <c r="B338" s="1">
        <v>45547</v>
      </c>
      <c r="C338" t="s">
        <v>1918</v>
      </c>
      <c r="D338" t="s">
        <v>634</v>
      </c>
      <c r="E338" t="s">
        <v>73</v>
      </c>
      <c r="F338">
        <v>42.47</v>
      </c>
      <c r="G338" t="s">
        <v>47</v>
      </c>
      <c r="H338">
        <v>93.9876</v>
      </c>
      <c r="I338">
        <v>-1288647</v>
      </c>
      <c r="J338" t="s">
        <v>116</v>
      </c>
      <c r="K338">
        <v>512163533</v>
      </c>
      <c r="L338" t="s">
        <v>134</v>
      </c>
      <c r="M338" t="s">
        <v>87</v>
      </c>
      <c r="N338" t="s">
        <v>151</v>
      </c>
      <c r="O338" t="s">
        <v>30</v>
      </c>
      <c r="P338" t="s">
        <v>93</v>
      </c>
      <c r="Q338">
        <v>853405</v>
      </c>
      <c r="R338" t="s">
        <v>1919</v>
      </c>
      <c r="S338" t="s">
        <v>1076</v>
      </c>
      <c r="T338">
        <v>-8181542703</v>
      </c>
      <c r="U338" t="s">
        <v>34</v>
      </c>
      <c r="V338" t="s">
        <v>2477</v>
      </c>
      <c r="W338" s="1">
        <v>45170</v>
      </c>
    </row>
    <row r="339" spans="1:23" x14ac:dyDescent="0.25">
      <c r="A339" t="s">
        <v>1920</v>
      </c>
      <c r="B339" s="1">
        <v>45812</v>
      </c>
      <c r="C339" t="s">
        <v>1753</v>
      </c>
      <c r="D339" t="s">
        <v>152</v>
      </c>
      <c r="E339" t="s">
        <v>24</v>
      </c>
      <c r="F339">
        <v>201.16</v>
      </c>
      <c r="G339" t="s">
        <v>47</v>
      </c>
      <c r="H339">
        <v>100.7325</v>
      </c>
      <c r="I339">
        <v>-1807197.5</v>
      </c>
      <c r="J339" t="s">
        <v>86</v>
      </c>
      <c r="K339">
        <v>3930351843</v>
      </c>
      <c r="L339" t="s">
        <v>181</v>
      </c>
      <c r="M339" t="s">
        <v>77</v>
      </c>
      <c r="N339" t="s">
        <v>136</v>
      </c>
      <c r="O339" t="s">
        <v>52</v>
      </c>
      <c r="P339" t="s">
        <v>59</v>
      </c>
      <c r="Q339">
        <v>799449</v>
      </c>
      <c r="R339" t="s">
        <v>1921</v>
      </c>
      <c r="S339" t="s">
        <v>427</v>
      </c>
      <c r="T339">
        <v>8435552594</v>
      </c>
      <c r="U339" t="s">
        <v>173</v>
      </c>
      <c r="V339" t="s">
        <v>2478</v>
      </c>
      <c r="W339" s="1">
        <v>2023</v>
      </c>
    </row>
    <row r="340" spans="1:23" x14ac:dyDescent="0.25">
      <c r="A340" t="s">
        <v>1922</v>
      </c>
      <c r="B340" s="1">
        <v>45455</v>
      </c>
      <c r="C340" t="s">
        <v>1665</v>
      </c>
      <c r="D340" t="s">
        <v>1097</v>
      </c>
      <c r="E340" t="s">
        <v>24</v>
      </c>
      <c r="F340">
        <v>12.2</v>
      </c>
      <c r="G340" t="s">
        <v>66</v>
      </c>
      <c r="H340">
        <v>1</v>
      </c>
      <c r="I340">
        <v>-1825660.73</v>
      </c>
      <c r="J340" t="s">
        <v>91</v>
      </c>
      <c r="K340">
        <v>5014781392</v>
      </c>
      <c r="L340" t="s">
        <v>92</v>
      </c>
      <c r="M340" t="s">
        <v>50</v>
      </c>
      <c r="N340" t="s">
        <v>111</v>
      </c>
      <c r="O340" t="s">
        <v>42</v>
      </c>
      <c r="P340" t="s">
        <v>59</v>
      </c>
      <c r="Q340">
        <v>921606</v>
      </c>
      <c r="R340" t="s">
        <v>1923</v>
      </c>
      <c r="S340" t="s">
        <v>1636</v>
      </c>
      <c r="T340">
        <v>4137734805</v>
      </c>
      <c r="U340" t="s">
        <v>34</v>
      </c>
      <c r="V340" t="s">
        <v>2478</v>
      </c>
      <c r="W340" s="1">
        <v>2020</v>
      </c>
    </row>
    <row r="341" spans="1:23" x14ac:dyDescent="0.25">
      <c r="A341" t="s">
        <v>1924</v>
      </c>
      <c r="B341" s="1">
        <v>45242</v>
      </c>
      <c r="C341" t="s">
        <v>1925</v>
      </c>
      <c r="D341" t="s">
        <v>118</v>
      </c>
      <c r="E341" t="s">
        <v>73</v>
      </c>
      <c r="F341">
        <v>55.37</v>
      </c>
      <c r="G341" t="s">
        <v>782</v>
      </c>
      <c r="H341">
        <v>107.9408</v>
      </c>
      <c r="I341">
        <v>-2825996.27</v>
      </c>
      <c r="J341" t="s">
        <v>91</v>
      </c>
      <c r="K341">
        <v>2884957790</v>
      </c>
      <c r="L341" t="s">
        <v>92</v>
      </c>
      <c r="M341" t="s">
        <v>57</v>
      </c>
      <c r="N341" t="s">
        <v>58</v>
      </c>
      <c r="O341" t="s">
        <v>30</v>
      </c>
      <c r="P341" t="s">
        <v>71</v>
      </c>
      <c r="Q341">
        <v>604185</v>
      </c>
      <c r="R341" t="s">
        <v>1926</v>
      </c>
      <c r="S341" t="s">
        <v>120</v>
      </c>
      <c r="T341">
        <v>2684940642</v>
      </c>
      <c r="U341" t="s">
        <v>34</v>
      </c>
      <c r="V341" t="s">
        <v>2478</v>
      </c>
      <c r="W341" s="1">
        <v>45812</v>
      </c>
    </row>
    <row r="342" spans="1:23" x14ac:dyDescent="0.25">
      <c r="A342" t="s">
        <v>1927</v>
      </c>
      <c r="B342" s="1">
        <v>45391</v>
      </c>
      <c r="C342" t="s">
        <v>1928</v>
      </c>
      <c r="D342" t="s">
        <v>208</v>
      </c>
      <c r="E342" t="s">
        <v>24</v>
      </c>
      <c r="F342">
        <v>36.76</v>
      </c>
      <c r="G342" t="s">
        <v>61</v>
      </c>
      <c r="H342">
        <v>75.051699999999997</v>
      </c>
      <c r="I342">
        <v>-144674.53</v>
      </c>
      <c r="J342" t="s">
        <v>91</v>
      </c>
      <c r="K342">
        <v>8136939914</v>
      </c>
      <c r="L342" t="s">
        <v>92</v>
      </c>
      <c r="M342" t="s">
        <v>40</v>
      </c>
      <c r="N342" t="s">
        <v>106</v>
      </c>
      <c r="O342" t="s">
        <v>70</v>
      </c>
      <c r="P342" t="s">
        <v>153</v>
      </c>
      <c r="Q342">
        <v>231729</v>
      </c>
      <c r="R342" t="s">
        <v>1929</v>
      </c>
      <c r="S342" t="s">
        <v>210</v>
      </c>
      <c r="T342">
        <v>3269796330</v>
      </c>
      <c r="U342" t="s">
        <v>34</v>
      </c>
      <c r="V342" t="s">
        <v>2476</v>
      </c>
      <c r="W342" s="1">
        <v>2019</v>
      </c>
    </row>
    <row r="343" spans="1:23" x14ac:dyDescent="0.25">
      <c r="A343" t="s">
        <v>1930</v>
      </c>
      <c r="B343" s="1">
        <v>45572</v>
      </c>
      <c r="C343" t="s">
        <v>1931</v>
      </c>
      <c r="D343" t="s">
        <v>170</v>
      </c>
      <c r="E343" t="s">
        <v>73</v>
      </c>
      <c r="F343">
        <v>33.97</v>
      </c>
      <c r="G343" t="s">
        <v>66</v>
      </c>
      <c r="H343">
        <v>1</v>
      </c>
      <c r="I343">
        <v>-1130970.1200000001</v>
      </c>
      <c r="J343" t="s">
        <v>74</v>
      </c>
      <c r="K343">
        <v>3839730680</v>
      </c>
      <c r="L343" t="s">
        <v>105</v>
      </c>
      <c r="M343" t="s">
        <v>68</v>
      </c>
      <c r="N343" t="s">
        <v>69</v>
      </c>
      <c r="O343" t="s">
        <v>30</v>
      </c>
      <c r="P343" t="s">
        <v>153</v>
      </c>
      <c r="Q343">
        <v>347473</v>
      </c>
      <c r="R343" t="s">
        <v>1932</v>
      </c>
      <c r="S343" t="s">
        <v>171</v>
      </c>
      <c r="T343">
        <v>8053981855</v>
      </c>
      <c r="U343" t="s">
        <v>34</v>
      </c>
      <c r="V343" t="s">
        <v>2478</v>
      </c>
      <c r="W343" s="1">
        <v>44958</v>
      </c>
    </row>
    <row r="344" spans="1:23" x14ac:dyDescent="0.25">
      <c r="A344" t="s">
        <v>1933</v>
      </c>
      <c r="B344" s="1">
        <v>45841</v>
      </c>
      <c r="C344" t="s">
        <v>1207</v>
      </c>
      <c r="D344" t="s">
        <v>1097</v>
      </c>
      <c r="E344" t="s">
        <v>73</v>
      </c>
      <c r="F344">
        <v>42.82</v>
      </c>
      <c r="G344" t="s">
        <v>66</v>
      </c>
      <c r="H344">
        <v>1</v>
      </c>
      <c r="I344">
        <v>-163731.01999999999</v>
      </c>
      <c r="J344" t="s">
        <v>38</v>
      </c>
      <c r="K344">
        <v>-3495847772</v>
      </c>
      <c r="L344" t="s">
        <v>39</v>
      </c>
      <c r="M344" t="s">
        <v>28</v>
      </c>
      <c r="N344" t="s">
        <v>29</v>
      </c>
      <c r="O344" t="s">
        <v>70</v>
      </c>
      <c r="P344" t="s">
        <v>71</v>
      </c>
      <c r="Q344">
        <v>637725</v>
      </c>
      <c r="R344">
        <v>4768340000000000</v>
      </c>
      <c r="S344" t="s">
        <v>1098</v>
      </c>
      <c r="T344">
        <v>12228129</v>
      </c>
      <c r="U344" t="s">
        <v>385</v>
      </c>
      <c r="V344" t="s">
        <v>2476</v>
      </c>
      <c r="W344" s="1">
        <v>2024</v>
      </c>
    </row>
    <row r="345" spans="1:23" x14ac:dyDescent="0.25">
      <c r="A345" t="s">
        <v>1934</v>
      </c>
      <c r="B345" s="1">
        <v>45445</v>
      </c>
      <c r="C345" t="s">
        <v>1935</v>
      </c>
      <c r="D345" t="s">
        <v>417</v>
      </c>
      <c r="E345" t="s">
        <v>24</v>
      </c>
      <c r="F345">
        <v>74.91</v>
      </c>
      <c r="G345" t="s">
        <v>61</v>
      </c>
      <c r="H345">
        <v>75.596800000000002</v>
      </c>
      <c r="I345">
        <v>-2419795.36</v>
      </c>
      <c r="J345" t="s">
        <v>91</v>
      </c>
      <c r="K345">
        <v>6027868102</v>
      </c>
      <c r="L345" t="s">
        <v>92</v>
      </c>
      <c r="M345" t="s">
        <v>28</v>
      </c>
      <c r="N345" t="s">
        <v>119</v>
      </c>
      <c r="O345" t="s">
        <v>100</v>
      </c>
      <c r="P345" t="s">
        <v>31</v>
      </c>
      <c r="Q345">
        <v>749421</v>
      </c>
      <c r="R345" t="s">
        <v>1936</v>
      </c>
      <c r="S345" t="s">
        <v>419</v>
      </c>
      <c r="T345">
        <v>7142785561</v>
      </c>
      <c r="U345" t="s">
        <v>34</v>
      </c>
      <c r="V345" t="s">
        <v>2474</v>
      </c>
      <c r="W345" s="1">
        <v>2025</v>
      </c>
    </row>
    <row r="346" spans="1:23" x14ac:dyDescent="0.25">
      <c r="A346" t="s">
        <v>1937</v>
      </c>
      <c r="B346" s="1">
        <v>45480</v>
      </c>
      <c r="C346" t="s">
        <v>1868</v>
      </c>
      <c r="D346" t="s">
        <v>540</v>
      </c>
      <c r="E346" t="s">
        <v>73</v>
      </c>
      <c r="F346">
        <v>23.05</v>
      </c>
      <c r="G346" t="s">
        <v>47</v>
      </c>
      <c r="H346">
        <v>104.3047</v>
      </c>
      <c r="I346">
        <v>-1561369.53</v>
      </c>
      <c r="J346" t="s">
        <v>62</v>
      </c>
      <c r="K346">
        <v>6143989178</v>
      </c>
      <c r="L346" t="s">
        <v>131</v>
      </c>
      <c r="M346" t="s">
        <v>28</v>
      </c>
      <c r="N346" t="s">
        <v>29</v>
      </c>
      <c r="O346" t="s">
        <v>100</v>
      </c>
      <c r="P346" t="s">
        <v>153</v>
      </c>
      <c r="Q346">
        <v>531</v>
      </c>
      <c r="R346" t="s">
        <v>1938</v>
      </c>
      <c r="S346" t="s">
        <v>1939</v>
      </c>
      <c r="T346">
        <v>7105119333</v>
      </c>
      <c r="U346" t="s">
        <v>34</v>
      </c>
      <c r="V346" t="s">
        <v>2477</v>
      </c>
      <c r="W346" s="1">
        <v>44967</v>
      </c>
    </row>
    <row r="347" spans="1:23" x14ac:dyDescent="0.25">
      <c r="A347" t="s">
        <v>1941</v>
      </c>
      <c r="B347" s="1">
        <v>45388</v>
      </c>
      <c r="C347" t="s">
        <v>1942</v>
      </c>
      <c r="D347" t="s">
        <v>565</v>
      </c>
      <c r="E347" t="s">
        <v>73</v>
      </c>
      <c r="F347">
        <v>76.36</v>
      </c>
      <c r="G347" t="s">
        <v>61</v>
      </c>
      <c r="H347">
        <v>82.435199999999995</v>
      </c>
      <c r="I347">
        <v>-282019.92</v>
      </c>
      <c r="J347" t="s">
        <v>26</v>
      </c>
      <c r="K347">
        <v>3499047268</v>
      </c>
      <c r="L347" t="s">
        <v>27</v>
      </c>
      <c r="M347" t="s">
        <v>68</v>
      </c>
      <c r="N347" t="s">
        <v>277</v>
      </c>
      <c r="O347" t="s">
        <v>79</v>
      </c>
      <c r="P347" t="s">
        <v>59</v>
      </c>
      <c r="Q347">
        <v>784714</v>
      </c>
      <c r="R347" t="s">
        <v>1943</v>
      </c>
      <c r="S347" t="s">
        <v>1104</v>
      </c>
      <c r="T347">
        <v>1679570801</v>
      </c>
      <c r="U347" t="s">
        <v>34</v>
      </c>
      <c r="V347" t="s">
        <v>2472</v>
      </c>
      <c r="W347" s="1">
        <v>2022</v>
      </c>
    </row>
    <row r="348" spans="1:23" x14ac:dyDescent="0.25">
      <c r="A348" t="s">
        <v>1945</v>
      </c>
      <c r="B348" s="1">
        <v>45392</v>
      </c>
      <c r="C348" t="s">
        <v>1946</v>
      </c>
      <c r="D348" t="s">
        <v>170</v>
      </c>
      <c r="E348" t="s">
        <v>73</v>
      </c>
      <c r="F348">
        <v>109.43</v>
      </c>
      <c r="G348" t="s">
        <v>66</v>
      </c>
      <c r="H348">
        <v>1</v>
      </c>
      <c r="I348">
        <v>-975160.37</v>
      </c>
      <c r="J348" t="s">
        <v>38</v>
      </c>
      <c r="K348">
        <v>-5367869645</v>
      </c>
      <c r="L348" t="s">
        <v>39</v>
      </c>
      <c r="M348" t="s">
        <v>68</v>
      </c>
      <c r="N348" t="s">
        <v>114</v>
      </c>
      <c r="O348" t="s">
        <v>70</v>
      </c>
      <c r="P348" t="s">
        <v>71</v>
      </c>
      <c r="Q348">
        <v>866217</v>
      </c>
      <c r="R348">
        <v>4363030000000000</v>
      </c>
      <c r="S348" t="s">
        <v>488</v>
      </c>
      <c r="T348">
        <v>2657374691</v>
      </c>
      <c r="U348" t="s">
        <v>34</v>
      </c>
      <c r="V348" t="s">
        <v>2477</v>
      </c>
      <c r="W348" s="1">
        <v>2018</v>
      </c>
    </row>
    <row r="349" spans="1:23" x14ac:dyDescent="0.25">
      <c r="A349" t="s">
        <v>1948</v>
      </c>
      <c r="B349" s="1">
        <v>45606</v>
      </c>
      <c r="C349" t="s">
        <v>1949</v>
      </c>
      <c r="D349" t="s">
        <v>553</v>
      </c>
      <c r="E349" t="s">
        <v>24</v>
      </c>
      <c r="F349">
        <v>49.68</v>
      </c>
      <c r="G349" t="s">
        <v>61</v>
      </c>
      <c r="H349">
        <v>76.880099999999999</v>
      </c>
      <c r="I349">
        <v>-2935294.11</v>
      </c>
      <c r="J349" t="s">
        <v>74</v>
      </c>
      <c r="K349">
        <v>6572050200</v>
      </c>
      <c r="L349" t="s">
        <v>105</v>
      </c>
      <c r="M349" t="s">
        <v>77</v>
      </c>
      <c r="N349" t="s">
        <v>136</v>
      </c>
      <c r="O349" t="s">
        <v>42</v>
      </c>
      <c r="P349" t="s">
        <v>75</v>
      </c>
      <c r="Q349">
        <v>383662</v>
      </c>
      <c r="R349" t="s">
        <v>1950</v>
      </c>
      <c r="S349" t="s">
        <v>1070</v>
      </c>
      <c r="T349">
        <v>-886835090</v>
      </c>
      <c r="U349" t="s">
        <v>34</v>
      </c>
      <c r="V349" t="s">
        <v>2472</v>
      </c>
      <c r="W349" s="1">
        <v>2019</v>
      </c>
    </row>
    <row r="350" spans="1:23" x14ac:dyDescent="0.25">
      <c r="A350" t="s">
        <v>1953</v>
      </c>
      <c r="B350" s="1">
        <v>45637</v>
      </c>
      <c r="C350" t="s">
        <v>1954</v>
      </c>
      <c r="D350" t="s">
        <v>37</v>
      </c>
      <c r="E350" t="s">
        <v>55</v>
      </c>
      <c r="F350">
        <v>18.93</v>
      </c>
      <c r="G350" t="s">
        <v>66</v>
      </c>
      <c r="H350">
        <v>1</v>
      </c>
      <c r="I350">
        <v>-1000567.21</v>
      </c>
      <c r="J350" t="s">
        <v>98</v>
      </c>
      <c r="K350">
        <v>5405778170</v>
      </c>
      <c r="L350" t="s">
        <v>99</v>
      </c>
      <c r="M350" t="s">
        <v>50</v>
      </c>
      <c r="N350" t="s">
        <v>51</v>
      </c>
      <c r="O350" t="s">
        <v>79</v>
      </c>
      <c r="P350" t="s">
        <v>43</v>
      </c>
      <c r="Q350">
        <v>150</v>
      </c>
      <c r="R350" t="s">
        <v>1955</v>
      </c>
      <c r="S350" t="s">
        <v>1836</v>
      </c>
      <c r="T350">
        <v>2221141754</v>
      </c>
      <c r="U350" t="s">
        <v>34</v>
      </c>
      <c r="V350" t="s">
        <v>2474</v>
      </c>
      <c r="W350" s="1">
        <v>43644</v>
      </c>
    </row>
    <row r="351" spans="1:23" x14ac:dyDescent="0.25">
      <c r="A351" t="s">
        <v>1956</v>
      </c>
      <c r="B351" s="1">
        <v>45631</v>
      </c>
      <c r="C351" t="s">
        <v>1293</v>
      </c>
      <c r="D351" t="s">
        <v>817</v>
      </c>
      <c r="E351" t="s">
        <v>24</v>
      </c>
      <c r="F351">
        <v>63.75</v>
      </c>
      <c r="G351" t="s">
        <v>47</v>
      </c>
      <c r="H351">
        <v>98.887900000000002</v>
      </c>
      <c r="I351">
        <v>-2465660.7599999998</v>
      </c>
      <c r="J351" t="s">
        <v>74</v>
      </c>
      <c r="K351">
        <v>-8485594349</v>
      </c>
      <c r="L351" t="s">
        <v>105</v>
      </c>
      <c r="M351" t="s">
        <v>87</v>
      </c>
      <c r="N351" t="s">
        <v>88</v>
      </c>
      <c r="O351" t="s">
        <v>30</v>
      </c>
      <c r="P351" t="s">
        <v>59</v>
      </c>
      <c r="Q351">
        <v>271590</v>
      </c>
      <c r="R351" t="s">
        <v>1957</v>
      </c>
      <c r="S351" t="s">
        <v>1958</v>
      </c>
      <c r="T351">
        <v>8830978561</v>
      </c>
      <c r="U351" t="s">
        <v>34</v>
      </c>
      <c r="V351" t="s">
        <v>2472</v>
      </c>
      <c r="W351" s="1">
        <v>43683</v>
      </c>
    </row>
    <row r="352" spans="1:23" x14ac:dyDescent="0.25">
      <c r="A352" t="s">
        <v>1959</v>
      </c>
      <c r="B352" s="1">
        <v>45511</v>
      </c>
      <c r="C352" t="s">
        <v>1960</v>
      </c>
      <c r="D352" t="s">
        <v>460</v>
      </c>
      <c r="E352" t="s">
        <v>73</v>
      </c>
      <c r="F352">
        <v>16.420000000000002</v>
      </c>
      <c r="G352" t="s">
        <v>66</v>
      </c>
      <c r="H352">
        <v>1</v>
      </c>
      <c r="I352">
        <v>-2465187.7200000002</v>
      </c>
      <c r="J352" t="s">
        <v>62</v>
      </c>
      <c r="K352">
        <v>2406066923</v>
      </c>
      <c r="L352" t="s">
        <v>131</v>
      </c>
      <c r="M352" t="s">
        <v>87</v>
      </c>
      <c r="N352" t="s">
        <v>151</v>
      </c>
      <c r="O352" t="s">
        <v>79</v>
      </c>
      <c r="P352" t="s">
        <v>93</v>
      </c>
      <c r="Q352">
        <v>707405</v>
      </c>
      <c r="R352" t="s">
        <v>1291</v>
      </c>
      <c r="S352" t="s">
        <v>1428</v>
      </c>
      <c r="T352">
        <v>4996301891</v>
      </c>
      <c r="U352" t="s">
        <v>34</v>
      </c>
      <c r="V352" t="s">
        <v>2477</v>
      </c>
      <c r="W352" s="1">
        <v>45846</v>
      </c>
    </row>
    <row r="353" spans="1:23" x14ac:dyDescent="0.25">
      <c r="A353" t="s">
        <v>669</v>
      </c>
      <c r="B353" s="1">
        <v>45570</v>
      </c>
      <c r="C353" t="s">
        <v>670</v>
      </c>
      <c r="D353" t="s">
        <v>494</v>
      </c>
      <c r="E353" t="s">
        <v>73</v>
      </c>
      <c r="F353">
        <v>36.56</v>
      </c>
      <c r="G353" t="s">
        <v>47</v>
      </c>
      <c r="H353">
        <v>103.79640000000001</v>
      </c>
      <c r="I353">
        <v>-1130681.6200000001</v>
      </c>
      <c r="J353" t="s">
        <v>98</v>
      </c>
      <c r="K353">
        <v>4385729030</v>
      </c>
      <c r="L353" t="s">
        <v>99</v>
      </c>
      <c r="M353" t="s">
        <v>28</v>
      </c>
      <c r="N353" t="s">
        <v>119</v>
      </c>
      <c r="O353" t="s">
        <v>30</v>
      </c>
      <c r="P353" t="s">
        <v>75</v>
      </c>
      <c r="Q353">
        <v>611925</v>
      </c>
      <c r="R353">
        <v>4442100000000000</v>
      </c>
      <c r="S353" t="s">
        <v>671</v>
      </c>
      <c r="T353">
        <v>360445804</v>
      </c>
      <c r="U353" t="s">
        <v>34</v>
      </c>
      <c r="V353" t="s">
        <v>2473</v>
      </c>
      <c r="W353" s="1">
        <v>2022</v>
      </c>
    </row>
    <row r="354" spans="1:23" x14ac:dyDescent="0.25">
      <c r="A354" t="s">
        <v>1962</v>
      </c>
      <c r="B354" s="1">
        <v>45544</v>
      </c>
      <c r="C354" t="s">
        <v>1963</v>
      </c>
      <c r="D354" t="s">
        <v>483</v>
      </c>
      <c r="E354" t="s">
        <v>73</v>
      </c>
      <c r="F354">
        <v>10.06</v>
      </c>
      <c r="G354" t="s">
        <v>56</v>
      </c>
      <c r="H354">
        <v>20.120999999999999</v>
      </c>
      <c r="I354">
        <v>-2901930.45</v>
      </c>
      <c r="J354" t="s">
        <v>102</v>
      </c>
      <c r="K354">
        <v>6536219988</v>
      </c>
      <c r="L354" t="s">
        <v>150</v>
      </c>
      <c r="M354" t="s">
        <v>147</v>
      </c>
      <c r="N354" t="s">
        <v>155</v>
      </c>
      <c r="O354" t="s">
        <v>30</v>
      </c>
      <c r="P354" t="s">
        <v>71</v>
      </c>
      <c r="Q354">
        <v>697260</v>
      </c>
      <c r="R354" t="s">
        <v>1964</v>
      </c>
      <c r="S354" t="s">
        <v>1952</v>
      </c>
      <c r="T354">
        <v>-4850369212</v>
      </c>
      <c r="U354" t="s">
        <v>173</v>
      </c>
      <c r="V354" t="s">
        <v>2477</v>
      </c>
      <c r="W354" s="1">
        <v>44433</v>
      </c>
    </row>
    <row r="355" spans="1:23" x14ac:dyDescent="0.25">
      <c r="A355" t="s">
        <v>1965</v>
      </c>
      <c r="B355" s="1">
        <v>45847</v>
      </c>
      <c r="C355" t="s">
        <v>1966</v>
      </c>
      <c r="D355" t="s">
        <v>1002</v>
      </c>
      <c r="E355" t="s">
        <v>24</v>
      </c>
      <c r="F355">
        <v>246.07</v>
      </c>
      <c r="G355" t="s">
        <v>61</v>
      </c>
      <c r="H355">
        <v>72.920500000000004</v>
      </c>
      <c r="I355">
        <v>-2933267.15</v>
      </c>
      <c r="J355" t="s">
        <v>96</v>
      </c>
      <c r="K355">
        <v>7040730817</v>
      </c>
      <c r="L355" t="s">
        <v>97</v>
      </c>
      <c r="M355" t="s">
        <v>28</v>
      </c>
      <c r="N355" t="s">
        <v>29</v>
      </c>
      <c r="O355" t="s">
        <v>52</v>
      </c>
      <c r="P355" t="s">
        <v>75</v>
      </c>
      <c r="Q355">
        <v>740569</v>
      </c>
      <c r="R355" t="s">
        <v>1318</v>
      </c>
      <c r="S355" t="s">
        <v>1538</v>
      </c>
      <c r="T355">
        <v>8605794738</v>
      </c>
      <c r="U355" t="s">
        <v>173</v>
      </c>
      <c r="V355" t="s">
        <v>2476</v>
      </c>
      <c r="W355" s="1">
        <v>2020</v>
      </c>
    </row>
    <row r="356" spans="1:23" x14ac:dyDescent="0.25">
      <c r="A356" t="s">
        <v>1967</v>
      </c>
      <c r="B356" s="1">
        <v>45179</v>
      </c>
      <c r="C356" t="s">
        <v>1265</v>
      </c>
      <c r="D356" t="s">
        <v>412</v>
      </c>
      <c r="E356" t="s">
        <v>24</v>
      </c>
      <c r="F356">
        <v>17.62</v>
      </c>
      <c r="G356" t="s">
        <v>782</v>
      </c>
      <c r="H356">
        <v>100.884</v>
      </c>
      <c r="I356">
        <v>-2420132.13</v>
      </c>
      <c r="J356" t="s">
        <v>74</v>
      </c>
      <c r="K356">
        <v>3642495923</v>
      </c>
      <c r="L356" t="s">
        <v>105</v>
      </c>
      <c r="M356" t="s">
        <v>57</v>
      </c>
      <c r="N356" t="s">
        <v>63</v>
      </c>
      <c r="O356" t="s">
        <v>42</v>
      </c>
      <c r="P356" t="s">
        <v>59</v>
      </c>
      <c r="Q356">
        <v>296069</v>
      </c>
      <c r="R356" t="s">
        <v>1762</v>
      </c>
      <c r="S356" t="s">
        <v>1951</v>
      </c>
      <c r="T356">
        <v>2316218982</v>
      </c>
      <c r="U356" t="s">
        <v>34</v>
      </c>
      <c r="V356" t="s">
        <v>2472</v>
      </c>
      <c r="W356" s="1">
        <v>45419</v>
      </c>
    </row>
    <row r="357" spans="1:23" x14ac:dyDescent="0.25">
      <c r="A357" t="s">
        <v>1968</v>
      </c>
      <c r="B357" s="1">
        <v>45811</v>
      </c>
      <c r="C357" t="s">
        <v>1969</v>
      </c>
      <c r="D357" t="s">
        <v>569</v>
      </c>
      <c r="E357" t="s">
        <v>24</v>
      </c>
      <c r="F357">
        <v>60.46</v>
      </c>
      <c r="G357" t="s">
        <v>61</v>
      </c>
      <c r="H357">
        <v>73.516900000000007</v>
      </c>
      <c r="I357">
        <v>-2653658.6800000002</v>
      </c>
      <c r="J357" t="s">
        <v>128</v>
      </c>
      <c r="K357">
        <v>3892800780</v>
      </c>
      <c r="L357" t="s">
        <v>129</v>
      </c>
      <c r="M357" t="s">
        <v>40</v>
      </c>
      <c r="N357" t="s">
        <v>106</v>
      </c>
      <c r="O357" t="s">
        <v>52</v>
      </c>
      <c r="P357" t="s">
        <v>153</v>
      </c>
      <c r="Q357">
        <v>452828</v>
      </c>
      <c r="R357" t="s">
        <v>1970</v>
      </c>
      <c r="S357" t="s">
        <v>928</v>
      </c>
      <c r="T357">
        <v>9626599449</v>
      </c>
      <c r="U357" t="s">
        <v>34</v>
      </c>
      <c r="V357" t="s">
        <v>2477</v>
      </c>
      <c r="W357" s="1">
        <v>43586</v>
      </c>
    </row>
    <row r="358" spans="1:23" x14ac:dyDescent="0.25">
      <c r="A358" t="s">
        <v>1971</v>
      </c>
      <c r="B358" s="1">
        <v>45296</v>
      </c>
      <c r="C358" t="s">
        <v>777</v>
      </c>
      <c r="D358" t="s">
        <v>510</v>
      </c>
      <c r="E358" t="s">
        <v>73</v>
      </c>
      <c r="F358">
        <v>54.04</v>
      </c>
      <c r="G358" t="s">
        <v>61</v>
      </c>
      <c r="H358">
        <v>74.529600000000002</v>
      </c>
      <c r="I358">
        <v>-1935845.66</v>
      </c>
      <c r="J358" t="s">
        <v>116</v>
      </c>
      <c r="K358">
        <v>993637613</v>
      </c>
      <c r="L358" t="s">
        <v>134</v>
      </c>
      <c r="M358" t="s">
        <v>68</v>
      </c>
      <c r="N358" t="s">
        <v>69</v>
      </c>
      <c r="O358" t="s">
        <v>70</v>
      </c>
      <c r="P358" t="s">
        <v>59</v>
      </c>
      <c r="Q358">
        <v>363778</v>
      </c>
      <c r="R358" t="s">
        <v>1972</v>
      </c>
      <c r="S358" t="s">
        <v>1973</v>
      </c>
      <c r="T358">
        <v>-5419708035</v>
      </c>
      <c r="U358" t="s">
        <v>34</v>
      </c>
      <c r="V358" t="s">
        <v>2477</v>
      </c>
      <c r="W358" s="1">
        <v>42675</v>
      </c>
    </row>
    <row r="359" spans="1:23" x14ac:dyDescent="0.25">
      <c r="A359" t="s">
        <v>1974</v>
      </c>
      <c r="B359" s="1">
        <v>45389</v>
      </c>
      <c r="C359" t="s">
        <v>1975</v>
      </c>
      <c r="D359" t="s">
        <v>1976</v>
      </c>
      <c r="E359" t="s">
        <v>24</v>
      </c>
      <c r="F359">
        <v>46.83</v>
      </c>
      <c r="G359" t="s">
        <v>61</v>
      </c>
      <c r="H359">
        <v>82.741299999999995</v>
      </c>
      <c r="I359">
        <v>-2462092.58</v>
      </c>
      <c r="J359" t="s">
        <v>116</v>
      </c>
      <c r="K359">
        <v>-8355129330</v>
      </c>
      <c r="L359" t="s">
        <v>134</v>
      </c>
      <c r="M359" t="s">
        <v>83</v>
      </c>
      <c r="N359" t="s">
        <v>117</v>
      </c>
      <c r="O359" t="s">
        <v>52</v>
      </c>
      <c r="P359" t="s">
        <v>153</v>
      </c>
      <c r="Q359">
        <v>614319</v>
      </c>
      <c r="R359" t="s">
        <v>1977</v>
      </c>
      <c r="S359" t="s">
        <v>335</v>
      </c>
      <c r="T359">
        <v>908844804</v>
      </c>
      <c r="U359" t="s">
        <v>34</v>
      </c>
      <c r="V359" t="s">
        <v>2472</v>
      </c>
      <c r="W359" s="1">
        <v>45814</v>
      </c>
    </row>
    <row r="360" spans="1:23" x14ac:dyDescent="0.25">
      <c r="A360" t="s">
        <v>1978</v>
      </c>
      <c r="B360" s="1">
        <v>44968</v>
      </c>
      <c r="C360" t="s">
        <v>804</v>
      </c>
      <c r="D360" t="s">
        <v>396</v>
      </c>
      <c r="E360" t="s">
        <v>24</v>
      </c>
      <c r="F360">
        <v>60.21</v>
      </c>
      <c r="G360" t="s">
        <v>47</v>
      </c>
      <c r="H360">
        <v>98.659499999999994</v>
      </c>
      <c r="I360">
        <v>-1214786.6599999999</v>
      </c>
      <c r="J360" t="s">
        <v>86</v>
      </c>
      <c r="K360">
        <v>8768314649</v>
      </c>
      <c r="L360" t="s">
        <v>181</v>
      </c>
      <c r="M360" t="s">
        <v>50</v>
      </c>
      <c r="N360" t="s">
        <v>51</v>
      </c>
      <c r="O360" t="s">
        <v>52</v>
      </c>
      <c r="P360" t="s">
        <v>31</v>
      </c>
      <c r="Q360">
        <v>572050</v>
      </c>
      <c r="R360" t="s">
        <v>1979</v>
      </c>
      <c r="S360" t="s">
        <v>442</v>
      </c>
      <c r="T360">
        <v>4661358037</v>
      </c>
      <c r="U360" t="s">
        <v>34</v>
      </c>
      <c r="V360" t="s">
        <v>2474</v>
      </c>
      <c r="W360" s="1">
        <v>2015</v>
      </c>
    </row>
    <row r="361" spans="1:23" x14ac:dyDescent="0.25">
      <c r="A361" t="s">
        <v>1980</v>
      </c>
      <c r="B361" s="1">
        <v>45296</v>
      </c>
      <c r="C361" t="s">
        <v>1981</v>
      </c>
      <c r="D361" t="s">
        <v>710</v>
      </c>
      <c r="E361" t="s">
        <v>24</v>
      </c>
      <c r="F361">
        <v>64.540000000000006</v>
      </c>
      <c r="G361" t="s">
        <v>47</v>
      </c>
      <c r="H361">
        <v>90.982500000000002</v>
      </c>
      <c r="I361">
        <v>-2680058.0499999998</v>
      </c>
      <c r="J361" t="s">
        <v>116</v>
      </c>
      <c r="K361">
        <v>2617709047</v>
      </c>
      <c r="L361" t="s">
        <v>134</v>
      </c>
      <c r="M361" t="s">
        <v>121</v>
      </c>
      <c r="N361" t="s">
        <v>122</v>
      </c>
      <c r="O361" t="s">
        <v>52</v>
      </c>
      <c r="P361" t="s">
        <v>31</v>
      </c>
      <c r="Q361">
        <v>704935</v>
      </c>
      <c r="R361" t="s">
        <v>1982</v>
      </c>
      <c r="S361" t="s">
        <v>1907</v>
      </c>
      <c r="T361">
        <v>1100839113</v>
      </c>
      <c r="U361" t="s">
        <v>34</v>
      </c>
      <c r="V361" t="s">
        <v>2474</v>
      </c>
      <c r="W361" s="1">
        <v>44661</v>
      </c>
    </row>
    <row r="362" spans="1:23" x14ac:dyDescent="0.25">
      <c r="A362" t="s">
        <v>1983</v>
      </c>
      <c r="B362" s="1">
        <v>45363</v>
      </c>
      <c r="C362" t="s">
        <v>1984</v>
      </c>
      <c r="D362" t="s">
        <v>397</v>
      </c>
      <c r="E362" t="s">
        <v>55</v>
      </c>
      <c r="F362">
        <v>5.37</v>
      </c>
      <c r="G362" t="s">
        <v>66</v>
      </c>
      <c r="H362">
        <v>1</v>
      </c>
      <c r="I362">
        <v>-1626240.6</v>
      </c>
      <c r="J362" t="s">
        <v>116</v>
      </c>
      <c r="K362">
        <v>7243432502</v>
      </c>
      <c r="L362" t="s">
        <v>134</v>
      </c>
      <c r="M362" t="s">
        <v>50</v>
      </c>
      <c r="N362" t="s">
        <v>111</v>
      </c>
      <c r="O362" t="s">
        <v>30</v>
      </c>
      <c r="P362" t="s">
        <v>43</v>
      </c>
      <c r="Q362">
        <v>434440</v>
      </c>
      <c r="R362">
        <v>4262640000000000</v>
      </c>
      <c r="S362" t="s">
        <v>1283</v>
      </c>
      <c r="T362">
        <v>4839378812</v>
      </c>
      <c r="U362" t="s">
        <v>34</v>
      </c>
      <c r="V362" t="s">
        <v>2478</v>
      </c>
      <c r="W362" s="1">
        <v>45065</v>
      </c>
    </row>
    <row r="363" spans="1:23" x14ac:dyDescent="0.25">
      <c r="A363" t="s">
        <v>1985</v>
      </c>
      <c r="B363" s="1">
        <v>45696</v>
      </c>
      <c r="C363" t="s">
        <v>1986</v>
      </c>
      <c r="D363" t="s">
        <v>231</v>
      </c>
      <c r="E363" t="s">
        <v>73</v>
      </c>
      <c r="F363">
        <v>145.91</v>
      </c>
      <c r="G363" t="s">
        <v>47</v>
      </c>
      <c r="H363">
        <v>99.518799999999999</v>
      </c>
      <c r="I363">
        <v>-1284737.81</v>
      </c>
      <c r="J363" t="s">
        <v>38</v>
      </c>
      <c r="K363">
        <v>-5909522447</v>
      </c>
      <c r="L363" t="s">
        <v>39</v>
      </c>
      <c r="M363" t="s">
        <v>28</v>
      </c>
      <c r="N363" t="s">
        <v>119</v>
      </c>
      <c r="O363" t="s">
        <v>30</v>
      </c>
      <c r="P363" t="s">
        <v>126</v>
      </c>
      <c r="Q363">
        <v>986979</v>
      </c>
      <c r="R363" t="s">
        <v>1654</v>
      </c>
      <c r="S363" t="s">
        <v>476</v>
      </c>
      <c r="T363">
        <v>9345065024</v>
      </c>
      <c r="U363" t="s">
        <v>34</v>
      </c>
      <c r="V363" t="s">
        <v>2476</v>
      </c>
      <c r="W363" s="1">
        <v>43527</v>
      </c>
    </row>
    <row r="364" spans="1:23" x14ac:dyDescent="0.25">
      <c r="A364" t="s">
        <v>1987</v>
      </c>
      <c r="B364" s="1">
        <v>45660</v>
      </c>
      <c r="C364" t="s">
        <v>1988</v>
      </c>
      <c r="D364" t="s">
        <v>593</v>
      </c>
      <c r="E364" t="s">
        <v>73</v>
      </c>
      <c r="F364">
        <v>26.51</v>
      </c>
      <c r="G364" t="s">
        <v>47</v>
      </c>
      <c r="H364">
        <v>97.639600000000002</v>
      </c>
      <c r="I364">
        <v>-593959.27</v>
      </c>
      <c r="J364" t="s">
        <v>91</v>
      </c>
      <c r="K364">
        <v>8888193615</v>
      </c>
      <c r="L364" t="s">
        <v>92</v>
      </c>
      <c r="M364" t="s">
        <v>57</v>
      </c>
      <c r="N364" t="s">
        <v>58</v>
      </c>
      <c r="O364" t="s">
        <v>79</v>
      </c>
      <c r="P364" t="s">
        <v>31</v>
      </c>
      <c r="Q364">
        <v>365802</v>
      </c>
      <c r="R364">
        <v>4962630000000000</v>
      </c>
      <c r="S364" t="s">
        <v>984</v>
      </c>
      <c r="T364">
        <v>6621814434</v>
      </c>
      <c r="U364" t="s">
        <v>34</v>
      </c>
      <c r="V364" t="s">
        <v>2477</v>
      </c>
      <c r="W364" s="1">
        <v>2016</v>
      </c>
    </row>
    <row r="365" spans="1:23" x14ac:dyDescent="0.25">
      <c r="A365" t="s">
        <v>1989</v>
      </c>
      <c r="B365" s="1">
        <v>45475</v>
      </c>
      <c r="C365" t="s">
        <v>1651</v>
      </c>
      <c r="D365" t="s">
        <v>535</v>
      </c>
      <c r="E365" t="s">
        <v>24</v>
      </c>
      <c r="F365">
        <v>14.14</v>
      </c>
      <c r="G365" t="s">
        <v>66</v>
      </c>
      <c r="H365">
        <v>1</v>
      </c>
      <c r="I365">
        <v>-2775525.82</v>
      </c>
      <c r="J365" t="s">
        <v>38</v>
      </c>
      <c r="K365">
        <v>555123259</v>
      </c>
      <c r="L365" t="s">
        <v>39</v>
      </c>
      <c r="M365" t="s">
        <v>68</v>
      </c>
      <c r="N365" t="s">
        <v>114</v>
      </c>
      <c r="O365" t="s">
        <v>30</v>
      </c>
      <c r="P365" t="s">
        <v>93</v>
      </c>
      <c r="Q365">
        <v>670</v>
      </c>
      <c r="R365" t="s">
        <v>1990</v>
      </c>
      <c r="S365" t="s">
        <v>1991</v>
      </c>
      <c r="T365">
        <v>3941763523</v>
      </c>
      <c r="U365" t="s">
        <v>34</v>
      </c>
      <c r="V365" t="s">
        <v>2473</v>
      </c>
      <c r="W365" s="1">
        <v>45658</v>
      </c>
    </row>
    <row r="366" spans="1:23" x14ac:dyDescent="0.25">
      <c r="A366" t="s">
        <v>1992</v>
      </c>
      <c r="B366" s="1">
        <v>45507</v>
      </c>
      <c r="C366" t="s">
        <v>1993</v>
      </c>
      <c r="D366" t="s">
        <v>817</v>
      </c>
      <c r="E366" t="s">
        <v>73</v>
      </c>
      <c r="F366">
        <v>67.31</v>
      </c>
      <c r="G366" t="s">
        <v>56</v>
      </c>
      <c r="H366">
        <v>19.6585</v>
      </c>
      <c r="I366">
        <v>-2902977.82</v>
      </c>
      <c r="J366" t="s">
        <v>98</v>
      </c>
      <c r="K366">
        <v>2107536030</v>
      </c>
      <c r="L366" t="s">
        <v>99</v>
      </c>
      <c r="M366" t="s">
        <v>87</v>
      </c>
      <c r="N366" t="s">
        <v>151</v>
      </c>
      <c r="O366" t="s">
        <v>30</v>
      </c>
      <c r="P366" t="s">
        <v>75</v>
      </c>
      <c r="Q366">
        <v>846460</v>
      </c>
      <c r="R366" t="s">
        <v>1994</v>
      </c>
      <c r="S366" t="s">
        <v>818</v>
      </c>
      <c r="T366">
        <v>901029440</v>
      </c>
      <c r="U366" t="s">
        <v>34</v>
      </c>
      <c r="V366" t="s">
        <v>2478</v>
      </c>
      <c r="W366" s="1">
        <v>2018</v>
      </c>
    </row>
    <row r="367" spans="1:23" x14ac:dyDescent="0.25">
      <c r="A367" t="s">
        <v>1995</v>
      </c>
      <c r="B367" s="1">
        <v>45689</v>
      </c>
      <c r="C367" t="s">
        <v>1996</v>
      </c>
      <c r="D367" t="s">
        <v>786</v>
      </c>
      <c r="E367" t="s">
        <v>73</v>
      </c>
      <c r="F367">
        <v>31.97</v>
      </c>
      <c r="G367" t="s">
        <v>61</v>
      </c>
      <c r="H367">
        <v>74.174400000000006</v>
      </c>
      <c r="I367">
        <v>-2867930.88</v>
      </c>
      <c r="J367" t="s">
        <v>96</v>
      </c>
      <c r="K367">
        <v>1154023156</v>
      </c>
      <c r="L367" t="s">
        <v>97</v>
      </c>
      <c r="M367" t="s">
        <v>68</v>
      </c>
      <c r="N367" t="s">
        <v>114</v>
      </c>
      <c r="O367" t="s">
        <v>70</v>
      </c>
      <c r="P367" t="s">
        <v>53</v>
      </c>
      <c r="Q367">
        <v>264373</v>
      </c>
      <c r="R367" t="s">
        <v>1997</v>
      </c>
      <c r="S367" t="s">
        <v>1998</v>
      </c>
      <c r="T367">
        <v>75639044</v>
      </c>
      <c r="U367" t="s">
        <v>34</v>
      </c>
      <c r="V367" t="s">
        <v>2474</v>
      </c>
      <c r="W367" s="1">
        <v>2017</v>
      </c>
    </row>
    <row r="368" spans="1:23" x14ac:dyDescent="0.25">
      <c r="A368" t="s">
        <v>1999</v>
      </c>
      <c r="B368" s="1">
        <v>45536</v>
      </c>
      <c r="C368" t="s">
        <v>1683</v>
      </c>
      <c r="D368" t="s">
        <v>448</v>
      </c>
      <c r="E368" t="s">
        <v>73</v>
      </c>
      <c r="F368">
        <v>40.58</v>
      </c>
      <c r="G368" t="s">
        <v>66</v>
      </c>
      <c r="H368">
        <v>1</v>
      </c>
      <c r="I368">
        <v>-595527.29</v>
      </c>
      <c r="J368" t="s">
        <v>91</v>
      </c>
      <c r="K368">
        <v>8837446453</v>
      </c>
      <c r="L368" t="s">
        <v>92</v>
      </c>
      <c r="M368" t="s">
        <v>87</v>
      </c>
      <c r="N368" t="s">
        <v>151</v>
      </c>
      <c r="O368" t="s">
        <v>70</v>
      </c>
      <c r="P368" t="s">
        <v>126</v>
      </c>
      <c r="Q368">
        <v>459136</v>
      </c>
      <c r="R368" t="s">
        <v>2000</v>
      </c>
      <c r="S368" t="s">
        <v>679</v>
      </c>
      <c r="T368">
        <v>1607397480</v>
      </c>
      <c r="U368" t="s">
        <v>34</v>
      </c>
      <c r="V368" t="s">
        <v>2482</v>
      </c>
      <c r="W368" s="1">
        <v>2021</v>
      </c>
    </row>
    <row r="369" spans="1:23" x14ac:dyDescent="0.25">
      <c r="A369" t="s">
        <v>2001</v>
      </c>
      <c r="B369" s="1">
        <v>45696</v>
      </c>
      <c r="C369" t="s">
        <v>2002</v>
      </c>
      <c r="D369" t="s">
        <v>721</v>
      </c>
      <c r="E369" t="s">
        <v>24</v>
      </c>
      <c r="F369">
        <v>18.84</v>
      </c>
      <c r="G369" t="s">
        <v>61</v>
      </c>
      <c r="H369">
        <v>80.372200000000007</v>
      </c>
      <c r="I369">
        <v>-2913908.73</v>
      </c>
      <c r="J369" t="s">
        <v>86</v>
      </c>
      <c r="K369">
        <v>9886232528</v>
      </c>
      <c r="L369" t="s">
        <v>181</v>
      </c>
      <c r="M369" t="s">
        <v>121</v>
      </c>
      <c r="N369" t="s">
        <v>213</v>
      </c>
      <c r="O369" t="s">
        <v>79</v>
      </c>
      <c r="P369" t="s">
        <v>126</v>
      </c>
      <c r="Q369">
        <v>163385</v>
      </c>
      <c r="R369" t="s">
        <v>2003</v>
      </c>
      <c r="S369" t="s">
        <v>2004</v>
      </c>
      <c r="T369">
        <v>6386935373</v>
      </c>
      <c r="U369" t="s">
        <v>34</v>
      </c>
      <c r="V369" t="s">
        <v>2477</v>
      </c>
      <c r="W369" s="1">
        <v>46004</v>
      </c>
    </row>
    <row r="370" spans="1:23" x14ac:dyDescent="0.25">
      <c r="A370" t="s">
        <v>2005</v>
      </c>
      <c r="B370" s="1">
        <v>45658</v>
      </c>
      <c r="C370" t="s">
        <v>1624</v>
      </c>
      <c r="D370" t="s">
        <v>2006</v>
      </c>
      <c r="E370" t="s">
        <v>24</v>
      </c>
      <c r="F370">
        <v>3.33</v>
      </c>
      <c r="G370" t="s">
        <v>61</v>
      </c>
      <c r="H370">
        <v>82.683400000000006</v>
      </c>
      <c r="I370">
        <v>9556.25</v>
      </c>
      <c r="J370" t="s">
        <v>128</v>
      </c>
      <c r="K370">
        <v>8104134474</v>
      </c>
      <c r="L370" t="s">
        <v>129</v>
      </c>
      <c r="M370" t="s">
        <v>77</v>
      </c>
      <c r="N370" t="s">
        <v>78</v>
      </c>
      <c r="O370" t="s">
        <v>52</v>
      </c>
      <c r="P370" t="s">
        <v>53</v>
      </c>
      <c r="Q370">
        <v>963073</v>
      </c>
      <c r="R370" t="s">
        <v>2007</v>
      </c>
      <c r="S370" t="s">
        <v>288</v>
      </c>
      <c r="T370">
        <v>8369448529</v>
      </c>
      <c r="U370" t="s">
        <v>34</v>
      </c>
      <c r="V370" t="s">
        <v>2472</v>
      </c>
      <c r="W370" s="1">
        <v>44097</v>
      </c>
    </row>
    <row r="371" spans="1:23" x14ac:dyDescent="0.25">
      <c r="A371" t="s">
        <v>2008</v>
      </c>
      <c r="B371" s="1">
        <v>45909</v>
      </c>
      <c r="C371" t="s">
        <v>2009</v>
      </c>
      <c r="D371" t="s">
        <v>494</v>
      </c>
      <c r="E371" t="s">
        <v>24</v>
      </c>
      <c r="F371">
        <v>17.649999999999999</v>
      </c>
      <c r="G371" t="s">
        <v>66</v>
      </c>
      <c r="H371">
        <v>1</v>
      </c>
      <c r="I371">
        <v>-1713914.66</v>
      </c>
      <c r="J371" t="s">
        <v>98</v>
      </c>
      <c r="K371">
        <v>7503092249</v>
      </c>
      <c r="L371" t="s">
        <v>99</v>
      </c>
      <c r="M371" t="s">
        <v>50</v>
      </c>
      <c r="N371" t="s">
        <v>51</v>
      </c>
      <c r="O371" t="s">
        <v>42</v>
      </c>
      <c r="P371" t="s">
        <v>59</v>
      </c>
      <c r="Q371">
        <v>971365</v>
      </c>
      <c r="R371" t="s">
        <v>1297</v>
      </c>
      <c r="S371" t="s">
        <v>548</v>
      </c>
      <c r="T371">
        <v>8220828966</v>
      </c>
      <c r="U371" t="s">
        <v>34</v>
      </c>
      <c r="V371" t="s">
        <v>2478</v>
      </c>
      <c r="W371" s="1">
        <v>42291</v>
      </c>
    </row>
    <row r="372" spans="1:23" x14ac:dyDescent="0.25">
      <c r="A372" t="s">
        <v>2010</v>
      </c>
      <c r="B372" s="1">
        <v>45607</v>
      </c>
      <c r="C372" t="s">
        <v>915</v>
      </c>
      <c r="D372" t="s">
        <v>143</v>
      </c>
      <c r="E372" t="s">
        <v>73</v>
      </c>
      <c r="F372">
        <v>30.68</v>
      </c>
      <c r="G372" t="s">
        <v>61</v>
      </c>
      <c r="H372">
        <v>79.3078</v>
      </c>
      <c r="I372">
        <v>-2867835.57</v>
      </c>
      <c r="J372" t="s">
        <v>98</v>
      </c>
      <c r="K372">
        <v>9118451288</v>
      </c>
      <c r="L372" t="s">
        <v>99</v>
      </c>
      <c r="M372" t="s">
        <v>83</v>
      </c>
      <c r="N372" t="s">
        <v>84</v>
      </c>
      <c r="O372" t="s">
        <v>42</v>
      </c>
      <c r="P372" t="s">
        <v>71</v>
      </c>
      <c r="Q372">
        <v>899149</v>
      </c>
      <c r="R372" t="s">
        <v>1910</v>
      </c>
      <c r="S372" t="s">
        <v>1261</v>
      </c>
      <c r="T372">
        <v>4476551776</v>
      </c>
      <c r="U372" t="s">
        <v>34</v>
      </c>
      <c r="V372" t="s">
        <v>2476</v>
      </c>
      <c r="W372" s="1">
        <v>42709</v>
      </c>
    </row>
    <row r="373" spans="1:23" x14ac:dyDescent="0.25">
      <c r="A373" t="s">
        <v>2011</v>
      </c>
      <c r="B373" s="1">
        <v>45934</v>
      </c>
      <c r="C373" t="s">
        <v>1046</v>
      </c>
      <c r="D373" t="s">
        <v>254</v>
      </c>
      <c r="E373" t="s">
        <v>55</v>
      </c>
      <c r="F373">
        <v>19.05</v>
      </c>
      <c r="G373" t="s">
        <v>61</v>
      </c>
      <c r="H373">
        <v>75.659599999999998</v>
      </c>
      <c r="I373">
        <v>-143750.96</v>
      </c>
      <c r="J373" t="s">
        <v>67</v>
      </c>
      <c r="K373">
        <v>7562452206</v>
      </c>
      <c r="L373" t="s">
        <v>178</v>
      </c>
      <c r="M373" t="s">
        <v>77</v>
      </c>
      <c r="N373" t="s">
        <v>136</v>
      </c>
      <c r="O373" t="s">
        <v>100</v>
      </c>
      <c r="P373" t="s">
        <v>59</v>
      </c>
      <c r="Q373">
        <v>385486</v>
      </c>
      <c r="R373" t="s">
        <v>2012</v>
      </c>
      <c r="S373" t="s">
        <v>1314</v>
      </c>
      <c r="T373">
        <v>9568913</v>
      </c>
      <c r="U373" t="s">
        <v>34</v>
      </c>
      <c r="V373" t="s">
        <v>2473</v>
      </c>
      <c r="W373" s="1">
        <v>45845</v>
      </c>
    </row>
    <row r="374" spans="1:23" x14ac:dyDescent="0.25">
      <c r="A374" t="s">
        <v>2013</v>
      </c>
      <c r="B374" s="1">
        <v>45813</v>
      </c>
      <c r="C374" t="s">
        <v>2014</v>
      </c>
      <c r="D374" t="s">
        <v>545</v>
      </c>
      <c r="E374" t="s">
        <v>24</v>
      </c>
      <c r="F374">
        <v>7.69</v>
      </c>
      <c r="G374" t="s">
        <v>47</v>
      </c>
      <c r="H374">
        <v>90.363200000000006</v>
      </c>
      <c r="I374">
        <v>-2764577.01</v>
      </c>
      <c r="J374" t="s">
        <v>62</v>
      </c>
      <c r="K374">
        <v>2188884940</v>
      </c>
      <c r="L374" t="s">
        <v>131</v>
      </c>
      <c r="M374" t="s">
        <v>68</v>
      </c>
      <c r="N374" t="s">
        <v>277</v>
      </c>
      <c r="O374" t="s">
        <v>30</v>
      </c>
      <c r="P374" t="s">
        <v>153</v>
      </c>
      <c r="Q374">
        <v>474885</v>
      </c>
      <c r="R374" t="s">
        <v>2015</v>
      </c>
      <c r="S374" t="s">
        <v>1384</v>
      </c>
      <c r="T374">
        <v>4519173258</v>
      </c>
      <c r="U374" t="s">
        <v>34</v>
      </c>
      <c r="V374" t="s">
        <v>2478</v>
      </c>
      <c r="W374" s="1">
        <v>45839</v>
      </c>
    </row>
    <row r="375" spans="1:23" x14ac:dyDescent="0.25">
      <c r="A375" t="s">
        <v>2016</v>
      </c>
      <c r="B375" s="1">
        <v>45419</v>
      </c>
      <c r="C375" t="s">
        <v>1737</v>
      </c>
      <c r="D375" t="s">
        <v>80</v>
      </c>
      <c r="E375" t="s">
        <v>24</v>
      </c>
      <c r="F375">
        <v>32.450000000000003</v>
      </c>
      <c r="G375" t="s">
        <v>56</v>
      </c>
      <c r="H375">
        <v>20.7136</v>
      </c>
      <c r="I375">
        <v>-2653287.64</v>
      </c>
      <c r="J375" t="s">
        <v>116</v>
      </c>
      <c r="K375">
        <v>4689164046</v>
      </c>
      <c r="L375" t="s">
        <v>134</v>
      </c>
      <c r="M375" t="s">
        <v>68</v>
      </c>
      <c r="N375" t="s">
        <v>277</v>
      </c>
      <c r="O375" t="s">
        <v>70</v>
      </c>
      <c r="P375" t="s">
        <v>153</v>
      </c>
      <c r="Q375">
        <v>518602</v>
      </c>
      <c r="R375" t="s">
        <v>2017</v>
      </c>
      <c r="S375" t="s">
        <v>85</v>
      </c>
      <c r="T375">
        <v>-7460885980</v>
      </c>
      <c r="U375" t="s">
        <v>34</v>
      </c>
      <c r="V375" t="s">
        <v>2474</v>
      </c>
      <c r="W375" s="1">
        <v>44429</v>
      </c>
    </row>
    <row r="376" spans="1:23" x14ac:dyDescent="0.25">
      <c r="A376" t="s">
        <v>2018</v>
      </c>
      <c r="B376" s="1">
        <v>45484</v>
      </c>
      <c r="C376" t="s">
        <v>2019</v>
      </c>
      <c r="D376" t="s">
        <v>138</v>
      </c>
      <c r="E376" t="s">
        <v>24</v>
      </c>
      <c r="F376">
        <v>14.85</v>
      </c>
      <c r="G376" t="s">
        <v>47</v>
      </c>
      <c r="H376">
        <v>98.707800000000006</v>
      </c>
      <c r="I376">
        <v>-2428680.9300000002</v>
      </c>
      <c r="J376" t="s">
        <v>67</v>
      </c>
      <c r="K376">
        <v>1577572323</v>
      </c>
      <c r="L376" t="s">
        <v>178</v>
      </c>
      <c r="M376" t="s">
        <v>121</v>
      </c>
      <c r="N376" t="s">
        <v>122</v>
      </c>
      <c r="O376" t="s">
        <v>100</v>
      </c>
      <c r="P376" t="s">
        <v>126</v>
      </c>
      <c r="Q376">
        <v>614330</v>
      </c>
      <c r="R376" t="s">
        <v>2020</v>
      </c>
      <c r="S376" t="s">
        <v>2021</v>
      </c>
      <c r="T376">
        <v>6406480059</v>
      </c>
      <c r="U376" t="s">
        <v>34</v>
      </c>
      <c r="V376" t="s">
        <v>2474</v>
      </c>
      <c r="W376" s="1">
        <v>2015</v>
      </c>
    </row>
    <row r="377" spans="1:23" x14ac:dyDescent="0.25">
      <c r="A377" t="s">
        <v>2023</v>
      </c>
      <c r="B377" s="1">
        <v>45692</v>
      </c>
      <c r="C377" t="s">
        <v>2024</v>
      </c>
      <c r="D377" t="s">
        <v>289</v>
      </c>
      <c r="E377" t="s">
        <v>73</v>
      </c>
      <c r="F377">
        <v>-99.33</v>
      </c>
      <c r="G377" t="s">
        <v>47</v>
      </c>
      <c r="H377">
        <v>107.6567</v>
      </c>
      <c r="I377">
        <v>-144816.35999999999</v>
      </c>
      <c r="J377" t="s">
        <v>81</v>
      </c>
      <c r="K377">
        <v>5083506325</v>
      </c>
      <c r="L377" t="s">
        <v>82</v>
      </c>
      <c r="M377" t="s">
        <v>147</v>
      </c>
      <c r="N377" t="s">
        <v>155</v>
      </c>
      <c r="O377" t="s">
        <v>42</v>
      </c>
      <c r="P377" t="s">
        <v>71</v>
      </c>
      <c r="Q377">
        <v>436921</v>
      </c>
      <c r="R377" t="s">
        <v>1264</v>
      </c>
      <c r="S377" t="s">
        <v>411</v>
      </c>
      <c r="T377">
        <v>8062400397</v>
      </c>
      <c r="U377" t="s">
        <v>34</v>
      </c>
      <c r="V377" t="s">
        <v>2476</v>
      </c>
      <c r="W377" s="1">
        <v>42614</v>
      </c>
    </row>
    <row r="378" spans="1:23" x14ac:dyDescent="0.25">
      <c r="A378" t="s">
        <v>2025</v>
      </c>
      <c r="B378" s="1">
        <v>45333</v>
      </c>
      <c r="C378" t="s">
        <v>2026</v>
      </c>
      <c r="D378" t="s">
        <v>140</v>
      </c>
      <c r="E378" t="s">
        <v>24</v>
      </c>
      <c r="F378">
        <v>133.07</v>
      </c>
      <c r="G378" t="s">
        <v>56</v>
      </c>
      <c r="H378">
        <v>20.978400000000001</v>
      </c>
      <c r="I378">
        <v>-1652472.92</v>
      </c>
      <c r="J378" t="s">
        <v>81</v>
      </c>
      <c r="K378">
        <v>9185057393</v>
      </c>
      <c r="L378" t="s">
        <v>82</v>
      </c>
      <c r="M378" t="s">
        <v>147</v>
      </c>
      <c r="N378" t="s">
        <v>155</v>
      </c>
      <c r="O378" t="s">
        <v>52</v>
      </c>
      <c r="P378" t="s">
        <v>75</v>
      </c>
      <c r="Q378">
        <v>337726</v>
      </c>
      <c r="R378" t="s">
        <v>2027</v>
      </c>
      <c r="S378" t="s">
        <v>165</v>
      </c>
      <c r="T378">
        <v>-8070949915</v>
      </c>
      <c r="U378" t="s">
        <v>34</v>
      </c>
      <c r="V378" t="s">
        <v>2477</v>
      </c>
      <c r="W378" s="1">
        <v>44470</v>
      </c>
    </row>
    <row r="379" spans="1:23" x14ac:dyDescent="0.25">
      <c r="A379" t="s">
        <v>2028</v>
      </c>
      <c r="B379" s="1">
        <v>45809</v>
      </c>
      <c r="C379" t="s">
        <v>2029</v>
      </c>
      <c r="D379" t="s">
        <v>462</v>
      </c>
      <c r="E379" t="s">
        <v>24</v>
      </c>
      <c r="F379">
        <v>79.81</v>
      </c>
      <c r="G379" t="s">
        <v>66</v>
      </c>
      <c r="H379">
        <v>1</v>
      </c>
      <c r="I379">
        <v>-2775282.75</v>
      </c>
      <c r="J379" t="s">
        <v>48</v>
      </c>
      <c r="K379">
        <v>6602602948</v>
      </c>
      <c r="L379" t="s">
        <v>49</v>
      </c>
      <c r="M379" t="s">
        <v>147</v>
      </c>
      <c r="N379" t="s">
        <v>155</v>
      </c>
      <c r="O379" t="s">
        <v>42</v>
      </c>
      <c r="P379" t="s">
        <v>93</v>
      </c>
      <c r="Q379">
        <v>912939</v>
      </c>
      <c r="R379" t="s">
        <v>2030</v>
      </c>
      <c r="S379" t="s">
        <v>656</v>
      </c>
      <c r="T379">
        <v>1553908857</v>
      </c>
      <c r="U379" t="s">
        <v>34</v>
      </c>
      <c r="V379" t="s">
        <v>2476</v>
      </c>
      <c r="W379" s="1">
        <v>2024</v>
      </c>
    </row>
    <row r="380" spans="1:23" x14ac:dyDescent="0.25">
      <c r="A380" t="s">
        <v>2031</v>
      </c>
      <c r="B380" s="1">
        <v>45931</v>
      </c>
      <c r="C380" t="s">
        <v>2032</v>
      </c>
      <c r="D380" t="s">
        <v>1230</v>
      </c>
      <c r="E380" t="s">
        <v>55</v>
      </c>
      <c r="F380">
        <v>65.83</v>
      </c>
      <c r="G380" t="s">
        <v>61</v>
      </c>
      <c r="H380">
        <v>77.6143</v>
      </c>
      <c r="I380">
        <v>-540521.28</v>
      </c>
      <c r="J380" t="s">
        <v>98</v>
      </c>
      <c r="K380">
        <v>2759276721</v>
      </c>
      <c r="L380" t="s">
        <v>99</v>
      </c>
      <c r="M380" t="s">
        <v>87</v>
      </c>
      <c r="N380" t="s">
        <v>151</v>
      </c>
      <c r="O380" t="s">
        <v>30</v>
      </c>
      <c r="P380" t="s">
        <v>75</v>
      </c>
      <c r="Q380">
        <v>544364</v>
      </c>
      <c r="R380" t="s">
        <v>2033</v>
      </c>
      <c r="S380" t="s">
        <v>1349</v>
      </c>
      <c r="T380">
        <v>529826167</v>
      </c>
      <c r="U380" t="s">
        <v>34</v>
      </c>
      <c r="V380" t="s">
        <v>2473</v>
      </c>
      <c r="W380" s="1">
        <v>44866</v>
      </c>
    </row>
    <row r="381" spans="1:23" x14ac:dyDescent="0.25">
      <c r="A381" t="s">
        <v>969</v>
      </c>
      <c r="B381" s="1">
        <v>45241</v>
      </c>
      <c r="C381" t="s">
        <v>970</v>
      </c>
      <c r="D381" t="s">
        <v>626</v>
      </c>
      <c r="E381" t="s">
        <v>24</v>
      </c>
      <c r="F381">
        <v>35.92</v>
      </c>
      <c r="G381" t="s">
        <v>47</v>
      </c>
      <c r="H381">
        <v>105.4361</v>
      </c>
      <c r="I381">
        <v>-2466225.4900000002</v>
      </c>
      <c r="J381" t="s">
        <v>102</v>
      </c>
      <c r="K381">
        <v>9842694092</v>
      </c>
      <c r="L381" t="s">
        <v>150</v>
      </c>
      <c r="M381" t="s">
        <v>68</v>
      </c>
      <c r="N381" t="s">
        <v>69</v>
      </c>
      <c r="O381" t="s">
        <v>70</v>
      </c>
      <c r="P381" t="s">
        <v>107</v>
      </c>
      <c r="Q381">
        <v>441764</v>
      </c>
      <c r="R381" t="s">
        <v>971</v>
      </c>
      <c r="S381" t="s">
        <v>972</v>
      </c>
      <c r="T381">
        <v>-9621585611</v>
      </c>
      <c r="U381" t="s">
        <v>34</v>
      </c>
      <c r="V381" t="s">
        <v>2474</v>
      </c>
      <c r="W381" s="1">
        <v>45938</v>
      </c>
    </row>
    <row r="382" spans="1:23" x14ac:dyDescent="0.25">
      <c r="A382" t="s">
        <v>2034</v>
      </c>
      <c r="B382" s="1">
        <v>45660</v>
      </c>
      <c r="C382" t="s">
        <v>2035</v>
      </c>
      <c r="D382" t="s">
        <v>291</v>
      </c>
      <c r="E382" t="s">
        <v>55</v>
      </c>
      <c r="F382">
        <v>95.33</v>
      </c>
      <c r="G382" t="s">
        <v>61</v>
      </c>
      <c r="H382">
        <v>81.456999999999994</v>
      </c>
      <c r="I382">
        <v>-2463043.7799999998</v>
      </c>
      <c r="J382" t="s">
        <v>48</v>
      </c>
      <c r="K382">
        <v>-9837939163</v>
      </c>
      <c r="L382" t="s">
        <v>49</v>
      </c>
      <c r="M382" t="s">
        <v>87</v>
      </c>
      <c r="N382" t="s">
        <v>88</v>
      </c>
      <c r="O382" t="s">
        <v>52</v>
      </c>
      <c r="P382" t="s">
        <v>153</v>
      </c>
      <c r="Q382">
        <v>629735</v>
      </c>
      <c r="R382">
        <v>4767170000000000</v>
      </c>
      <c r="S382" t="s">
        <v>2036</v>
      </c>
      <c r="T382">
        <v>6038900179</v>
      </c>
      <c r="U382" t="s">
        <v>34</v>
      </c>
      <c r="V382" t="s">
        <v>2476</v>
      </c>
      <c r="W382" s="1">
        <v>2025</v>
      </c>
    </row>
    <row r="383" spans="1:23" x14ac:dyDescent="0.25">
      <c r="A383" t="s">
        <v>2037</v>
      </c>
      <c r="B383" s="1">
        <v>45878</v>
      </c>
      <c r="C383" t="s">
        <v>2038</v>
      </c>
      <c r="D383" t="s">
        <v>989</v>
      </c>
      <c r="E383" t="s">
        <v>24</v>
      </c>
      <c r="F383">
        <v>37.31</v>
      </c>
      <c r="G383" t="s">
        <v>66</v>
      </c>
      <c r="H383">
        <v>1</v>
      </c>
      <c r="I383">
        <v>-276199.38</v>
      </c>
      <c r="J383" t="s">
        <v>74</v>
      </c>
      <c r="K383">
        <v>6642760629</v>
      </c>
      <c r="L383" t="s">
        <v>105</v>
      </c>
      <c r="M383" t="s">
        <v>87</v>
      </c>
      <c r="N383" t="s">
        <v>151</v>
      </c>
      <c r="O383" t="s">
        <v>52</v>
      </c>
      <c r="P383" t="s">
        <v>53</v>
      </c>
      <c r="Q383">
        <v>352015</v>
      </c>
      <c r="R383" t="s">
        <v>517</v>
      </c>
      <c r="S383" t="s">
        <v>998</v>
      </c>
      <c r="T383">
        <v>4857675482</v>
      </c>
      <c r="U383" t="s">
        <v>34</v>
      </c>
      <c r="V383" t="s">
        <v>2475</v>
      </c>
      <c r="W383" s="1">
        <v>42917</v>
      </c>
    </row>
    <row r="384" spans="1:23" x14ac:dyDescent="0.25">
      <c r="A384" t="s">
        <v>2040</v>
      </c>
      <c r="B384" s="1">
        <v>44968</v>
      </c>
      <c r="C384" t="s">
        <v>1858</v>
      </c>
      <c r="D384" t="s">
        <v>1051</v>
      </c>
      <c r="E384" t="s">
        <v>24</v>
      </c>
      <c r="F384">
        <v>15.58</v>
      </c>
      <c r="G384" t="s">
        <v>66</v>
      </c>
      <c r="H384">
        <v>1</v>
      </c>
      <c r="I384">
        <v>-2901881.93</v>
      </c>
      <c r="J384" t="s">
        <v>128</v>
      </c>
      <c r="K384">
        <v>3937468238</v>
      </c>
      <c r="L384" t="s">
        <v>129</v>
      </c>
      <c r="M384" t="s">
        <v>83</v>
      </c>
      <c r="N384" t="s">
        <v>117</v>
      </c>
      <c r="O384" t="s">
        <v>79</v>
      </c>
      <c r="P384" t="s">
        <v>43</v>
      </c>
      <c r="Q384">
        <v>403617</v>
      </c>
      <c r="R384">
        <v>4119970000000000</v>
      </c>
      <c r="S384" t="s">
        <v>1944</v>
      </c>
      <c r="T384">
        <v>3355807327</v>
      </c>
      <c r="U384" t="s">
        <v>34</v>
      </c>
      <c r="V384" t="s">
        <v>2474</v>
      </c>
      <c r="W384" s="1">
        <v>45028</v>
      </c>
    </row>
    <row r="385" spans="1:23" x14ac:dyDescent="0.25">
      <c r="A385" t="s">
        <v>2041</v>
      </c>
      <c r="B385" s="1">
        <v>45416</v>
      </c>
      <c r="C385" t="s">
        <v>2042</v>
      </c>
      <c r="D385" t="s">
        <v>115</v>
      </c>
      <c r="E385" t="s">
        <v>24</v>
      </c>
      <c r="F385">
        <v>31</v>
      </c>
      <c r="G385" t="s">
        <v>66</v>
      </c>
      <c r="H385">
        <v>1</v>
      </c>
      <c r="I385">
        <v>-1170210.52</v>
      </c>
      <c r="J385" t="s">
        <v>67</v>
      </c>
      <c r="K385">
        <v>8508907852</v>
      </c>
      <c r="L385" t="s">
        <v>178</v>
      </c>
      <c r="M385" t="s">
        <v>57</v>
      </c>
      <c r="N385" t="s">
        <v>63</v>
      </c>
      <c r="O385" t="s">
        <v>79</v>
      </c>
      <c r="P385" t="s">
        <v>126</v>
      </c>
      <c r="Q385">
        <v>774446</v>
      </c>
      <c r="R385" t="s">
        <v>2043</v>
      </c>
      <c r="S385" t="s">
        <v>863</v>
      </c>
      <c r="T385">
        <v>6809879492</v>
      </c>
      <c r="U385" t="s">
        <v>34</v>
      </c>
      <c r="V385" t="s">
        <v>2473</v>
      </c>
      <c r="W385" s="1">
        <v>2025</v>
      </c>
    </row>
    <row r="386" spans="1:23" x14ac:dyDescent="0.25">
      <c r="A386" t="s">
        <v>2044</v>
      </c>
      <c r="B386" s="1">
        <v>44936</v>
      </c>
      <c r="C386" t="s">
        <v>1445</v>
      </c>
      <c r="D386" t="s">
        <v>383</v>
      </c>
      <c r="E386" t="s">
        <v>24</v>
      </c>
      <c r="F386">
        <v>141.97999999999999</v>
      </c>
      <c r="G386" t="s">
        <v>61</v>
      </c>
      <c r="H386">
        <v>82.937200000000004</v>
      </c>
      <c r="I386">
        <v>-595801.56000000006</v>
      </c>
      <c r="J386" t="s">
        <v>102</v>
      </c>
      <c r="K386">
        <v>7129652450</v>
      </c>
      <c r="L386" t="s">
        <v>150</v>
      </c>
      <c r="M386" t="s">
        <v>40</v>
      </c>
      <c r="N386" t="s">
        <v>41</v>
      </c>
      <c r="O386" t="s">
        <v>30</v>
      </c>
      <c r="P386" t="s">
        <v>93</v>
      </c>
      <c r="Q386">
        <v>792553</v>
      </c>
      <c r="R386">
        <v>4439560000000000</v>
      </c>
      <c r="S386" t="s">
        <v>755</v>
      </c>
      <c r="T386">
        <v>3306153112</v>
      </c>
      <c r="U386" t="s">
        <v>34</v>
      </c>
      <c r="V386" t="s">
        <v>2474</v>
      </c>
      <c r="W386" s="1">
        <v>46082</v>
      </c>
    </row>
    <row r="387" spans="1:23" x14ac:dyDescent="0.25">
      <c r="A387" t="s">
        <v>2045</v>
      </c>
      <c r="B387" s="1">
        <v>45902</v>
      </c>
      <c r="C387" t="s">
        <v>2046</v>
      </c>
      <c r="D387" t="s">
        <v>689</v>
      </c>
      <c r="E387" t="s">
        <v>24</v>
      </c>
      <c r="F387">
        <v>28.4</v>
      </c>
      <c r="G387" t="s">
        <v>56</v>
      </c>
      <c r="H387">
        <v>19.115500000000001</v>
      </c>
      <c r="I387">
        <v>-260078.8</v>
      </c>
      <c r="J387" t="s">
        <v>26</v>
      </c>
      <c r="K387">
        <v>1415946283</v>
      </c>
      <c r="L387" t="s">
        <v>27</v>
      </c>
      <c r="M387" t="s">
        <v>87</v>
      </c>
      <c r="N387" t="s">
        <v>151</v>
      </c>
      <c r="O387" t="s">
        <v>52</v>
      </c>
      <c r="P387" t="s">
        <v>75</v>
      </c>
      <c r="Q387">
        <v>250325</v>
      </c>
      <c r="R387">
        <v>4334540000000000</v>
      </c>
      <c r="S387" t="s">
        <v>1191</v>
      </c>
      <c r="T387">
        <v>3278451181</v>
      </c>
      <c r="U387" t="s">
        <v>34</v>
      </c>
      <c r="V387" t="s">
        <v>2476</v>
      </c>
      <c r="W387" s="1">
        <v>45200</v>
      </c>
    </row>
    <row r="388" spans="1:23" x14ac:dyDescent="0.25">
      <c r="A388" t="s">
        <v>2047</v>
      </c>
      <c r="B388" s="1">
        <v>45845</v>
      </c>
      <c r="C388" t="s">
        <v>2048</v>
      </c>
      <c r="D388" t="s">
        <v>143</v>
      </c>
      <c r="E388" t="s">
        <v>24</v>
      </c>
      <c r="F388">
        <v>-19.12</v>
      </c>
      <c r="G388" t="s">
        <v>61</v>
      </c>
      <c r="H388">
        <v>72.2226</v>
      </c>
      <c r="I388">
        <v>-2308140.7200000002</v>
      </c>
      <c r="J388" t="s">
        <v>48</v>
      </c>
      <c r="K388">
        <v>408282239</v>
      </c>
      <c r="L388" t="s">
        <v>49</v>
      </c>
      <c r="M388" t="s">
        <v>57</v>
      </c>
      <c r="N388" t="s">
        <v>209</v>
      </c>
      <c r="O388" t="s">
        <v>70</v>
      </c>
      <c r="P388" t="s">
        <v>126</v>
      </c>
      <c r="Q388">
        <v>809791</v>
      </c>
      <c r="R388" t="s">
        <v>1876</v>
      </c>
      <c r="S388" t="s">
        <v>145</v>
      </c>
      <c r="T388">
        <v>-8792060484</v>
      </c>
      <c r="U388" t="s">
        <v>34</v>
      </c>
      <c r="V388" t="s">
        <v>2478</v>
      </c>
      <c r="W388" s="1">
        <v>44013</v>
      </c>
    </row>
    <row r="389" spans="1:23" x14ac:dyDescent="0.25">
      <c r="A389" t="s">
        <v>2049</v>
      </c>
      <c r="B389" s="1">
        <v>45964</v>
      </c>
      <c r="C389" t="s">
        <v>2050</v>
      </c>
      <c r="D389" t="s">
        <v>249</v>
      </c>
      <c r="E389" t="s">
        <v>73</v>
      </c>
      <c r="F389">
        <v>28.94</v>
      </c>
      <c r="G389" t="s">
        <v>66</v>
      </c>
      <c r="H389">
        <v>1</v>
      </c>
      <c r="I389">
        <v>-259189.53</v>
      </c>
      <c r="J389" t="s">
        <v>67</v>
      </c>
      <c r="K389">
        <v>-2519914355</v>
      </c>
      <c r="L389" t="s">
        <v>178</v>
      </c>
      <c r="M389" t="s">
        <v>83</v>
      </c>
      <c r="N389" t="s">
        <v>117</v>
      </c>
      <c r="O389" t="s">
        <v>52</v>
      </c>
      <c r="P389" t="s">
        <v>126</v>
      </c>
      <c r="Q389">
        <v>622129</v>
      </c>
      <c r="R389" t="s">
        <v>2051</v>
      </c>
      <c r="S389" t="s">
        <v>250</v>
      </c>
      <c r="T389">
        <v>8088002220</v>
      </c>
      <c r="U389" t="s">
        <v>34</v>
      </c>
      <c r="V389" t="s">
        <v>2478</v>
      </c>
      <c r="W389" s="1">
        <v>44317</v>
      </c>
    </row>
    <row r="390" spans="1:23" x14ac:dyDescent="0.25">
      <c r="A390" t="s">
        <v>2052</v>
      </c>
      <c r="B390" s="1">
        <v>45847</v>
      </c>
      <c r="C390" t="s">
        <v>2053</v>
      </c>
      <c r="D390" t="s">
        <v>309</v>
      </c>
      <c r="E390" t="s">
        <v>73</v>
      </c>
      <c r="F390">
        <v>6.42</v>
      </c>
      <c r="G390" t="s">
        <v>56</v>
      </c>
      <c r="H390">
        <v>19.552499999999998</v>
      </c>
      <c r="I390">
        <v>-974048.31</v>
      </c>
      <c r="J390" t="s">
        <v>48</v>
      </c>
      <c r="K390">
        <v>3032738924</v>
      </c>
      <c r="L390" t="s">
        <v>49</v>
      </c>
      <c r="M390" t="s">
        <v>77</v>
      </c>
      <c r="N390" t="s">
        <v>136</v>
      </c>
      <c r="O390" t="s">
        <v>100</v>
      </c>
      <c r="P390" t="s">
        <v>53</v>
      </c>
      <c r="Q390">
        <v>488884</v>
      </c>
      <c r="R390" t="s">
        <v>2054</v>
      </c>
      <c r="S390" t="s">
        <v>2055</v>
      </c>
      <c r="T390">
        <v>9855026870</v>
      </c>
      <c r="U390" t="s">
        <v>34</v>
      </c>
      <c r="V390" t="s">
        <v>2478</v>
      </c>
      <c r="W390" s="1">
        <v>42165</v>
      </c>
    </row>
    <row r="391" spans="1:23" x14ac:dyDescent="0.25">
      <c r="A391" t="s">
        <v>2057</v>
      </c>
      <c r="B391" s="1">
        <v>45936</v>
      </c>
      <c r="C391" t="s">
        <v>1321</v>
      </c>
      <c r="D391" t="s">
        <v>643</v>
      </c>
      <c r="E391" t="s">
        <v>24</v>
      </c>
      <c r="F391">
        <v>37.53</v>
      </c>
      <c r="G391" t="s">
        <v>66</v>
      </c>
      <c r="H391">
        <v>1</v>
      </c>
      <c r="I391">
        <v>-1270484.53</v>
      </c>
      <c r="J391" t="s">
        <v>116</v>
      </c>
      <c r="K391">
        <v>2549964188</v>
      </c>
      <c r="L391" t="s">
        <v>134</v>
      </c>
      <c r="M391" t="s">
        <v>57</v>
      </c>
      <c r="N391" t="s">
        <v>209</v>
      </c>
      <c r="O391" t="s">
        <v>100</v>
      </c>
      <c r="P391" t="s">
        <v>93</v>
      </c>
      <c r="Q391">
        <v>734658</v>
      </c>
      <c r="R391" t="s">
        <v>2058</v>
      </c>
      <c r="S391" t="s">
        <v>1402</v>
      </c>
      <c r="T391">
        <v>5353326167</v>
      </c>
      <c r="U391" t="s">
        <v>34</v>
      </c>
      <c r="V391" t="s">
        <v>2476</v>
      </c>
      <c r="W391" s="1">
        <v>43800</v>
      </c>
    </row>
    <row r="392" spans="1:23" x14ac:dyDescent="0.25">
      <c r="A392" t="s">
        <v>2059</v>
      </c>
      <c r="B392" s="1">
        <v>45361</v>
      </c>
      <c r="C392" t="s">
        <v>1124</v>
      </c>
      <c r="D392" t="s">
        <v>2060</v>
      </c>
      <c r="E392" t="s">
        <v>73</v>
      </c>
      <c r="F392">
        <v>-16.899999999999999</v>
      </c>
      <c r="G392" t="s">
        <v>56</v>
      </c>
      <c r="H392">
        <v>19.726900000000001</v>
      </c>
      <c r="I392">
        <v>-2419591.81</v>
      </c>
      <c r="J392" t="s">
        <v>91</v>
      </c>
      <c r="K392">
        <v>4049695957</v>
      </c>
      <c r="L392" t="s">
        <v>92</v>
      </c>
      <c r="M392" t="s">
        <v>147</v>
      </c>
      <c r="N392" t="s">
        <v>155</v>
      </c>
      <c r="O392" t="s">
        <v>42</v>
      </c>
      <c r="P392" t="s">
        <v>31</v>
      </c>
      <c r="Q392">
        <v>702706</v>
      </c>
      <c r="R392" t="s">
        <v>2061</v>
      </c>
      <c r="S392" t="s">
        <v>2062</v>
      </c>
      <c r="T392">
        <v>6498788140</v>
      </c>
      <c r="U392" t="s">
        <v>34</v>
      </c>
      <c r="V392" t="s">
        <v>2473</v>
      </c>
      <c r="W392" s="1">
        <v>43221</v>
      </c>
    </row>
    <row r="393" spans="1:23" x14ac:dyDescent="0.25">
      <c r="A393" t="s">
        <v>2063</v>
      </c>
      <c r="B393" s="1">
        <v>45872</v>
      </c>
      <c r="C393" t="s">
        <v>2064</v>
      </c>
      <c r="D393" t="s">
        <v>980</v>
      </c>
      <c r="E393" t="s">
        <v>73</v>
      </c>
      <c r="F393">
        <v>27.6</v>
      </c>
      <c r="G393" t="s">
        <v>47</v>
      </c>
      <c r="H393">
        <v>92.139799999999994</v>
      </c>
      <c r="I393">
        <v>-174831.5</v>
      </c>
      <c r="J393" t="s">
        <v>81</v>
      </c>
      <c r="K393">
        <v>-8046520163</v>
      </c>
      <c r="L393" t="s">
        <v>82</v>
      </c>
      <c r="M393" t="s">
        <v>50</v>
      </c>
      <c r="N393" t="s">
        <v>111</v>
      </c>
      <c r="O393" t="s">
        <v>30</v>
      </c>
      <c r="P393" t="s">
        <v>153</v>
      </c>
      <c r="Q393">
        <v>863814</v>
      </c>
      <c r="R393" t="s">
        <v>2065</v>
      </c>
      <c r="S393" t="s">
        <v>981</v>
      </c>
      <c r="T393">
        <v>2956545265</v>
      </c>
      <c r="U393" t="s">
        <v>34</v>
      </c>
      <c r="V393" t="s">
        <v>2474</v>
      </c>
      <c r="W393" s="1">
        <v>45292</v>
      </c>
    </row>
    <row r="394" spans="1:23" x14ac:dyDescent="0.25">
      <c r="A394" t="s">
        <v>2066</v>
      </c>
      <c r="B394" s="1">
        <v>45292</v>
      </c>
      <c r="C394" t="s">
        <v>2067</v>
      </c>
      <c r="D394" t="s">
        <v>843</v>
      </c>
      <c r="E394" t="s">
        <v>73</v>
      </c>
      <c r="F394">
        <v>56.87</v>
      </c>
      <c r="G394" t="s">
        <v>56</v>
      </c>
      <c r="H394">
        <v>19.409700000000001</v>
      </c>
      <c r="I394">
        <v>-1676011.74</v>
      </c>
      <c r="J394" t="s">
        <v>86</v>
      </c>
      <c r="K394">
        <v>66558383</v>
      </c>
      <c r="L394" t="s">
        <v>181</v>
      </c>
      <c r="M394" t="s">
        <v>50</v>
      </c>
      <c r="N394" t="s">
        <v>111</v>
      </c>
      <c r="O394" t="s">
        <v>100</v>
      </c>
      <c r="P394" t="s">
        <v>59</v>
      </c>
      <c r="Q394">
        <v>335836</v>
      </c>
      <c r="R394" t="s">
        <v>2068</v>
      </c>
      <c r="S394" t="s">
        <v>1270</v>
      </c>
      <c r="T394">
        <v>4009149721</v>
      </c>
      <c r="U394" t="s">
        <v>34</v>
      </c>
      <c r="V394" t="s">
        <v>2473</v>
      </c>
      <c r="W394" s="1">
        <v>2019</v>
      </c>
    </row>
    <row r="395" spans="1:23" x14ac:dyDescent="0.25">
      <c r="A395" t="s">
        <v>2069</v>
      </c>
      <c r="B395" s="1">
        <v>45444</v>
      </c>
      <c r="C395" t="s">
        <v>2070</v>
      </c>
      <c r="D395" t="s">
        <v>297</v>
      </c>
      <c r="E395" t="s">
        <v>24</v>
      </c>
      <c r="F395">
        <v>19.61</v>
      </c>
      <c r="G395" t="s">
        <v>47</v>
      </c>
      <c r="H395">
        <v>105.5321</v>
      </c>
      <c r="I395">
        <v>-1269392.1200000001</v>
      </c>
      <c r="J395" t="s">
        <v>96</v>
      </c>
      <c r="K395">
        <v>-4036489087</v>
      </c>
      <c r="L395" t="s">
        <v>97</v>
      </c>
      <c r="M395" t="s">
        <v>68</v>
      </c>
      <c r="N395" t="s">
        <v>69</v>
      </c>
      <c r="O395" t="s">
        <v>42</v>
      </c>
      <c r="P395" t="s">
        <v>31</v>
      </c>
      <c r="Q395">
        <v>563837</v>
      </c>
      <c r="R395" t="s">
        <v>2071</v>
      </c>
      <c r="S395" t="s">
        <v>298</v>
      </c>
      <c r="T395">
        <v>621169743</v>
      </c>
      <c r="U395" t="s">
        <v>34</v>
      </c>
      <c r="V395" t="s">
        <v>2474</v>
      </c>
      <c r="W395" s="1">
        <v>44163</v>
      </c>
    </row>
    <row r="396" spans="1:23" x14ac:dyDescent="0.25">
      <c r="A396" t="s">
        <v>2072</v>
      </c>
      <c r="B396" s="1">
        <v>45964</v>
      </c>
      <c r="C396" t="s">
        <v>2073</v>
      </c>
      <c r="D396" t="s">
        <v>541</v>
      </c>
      <c r="E396" t="s">
        <v>73</v>
      </c>
      <c r="F396">
        <v>99.63</v>
      </c>
      <c r="G396" t="s">
        <v>61</v>
      </c>
      <c r="H396">
        <v>72.339100000000002</v>
      </c>
      <c r="I396">
        <v>-173639.42</v>
      </c>
      <c r="J396" t="s">
        <v>48</v>
      </c>
      <c r="K396">
        <v>7116872960</v>
      </c>
      <c r="L396" t="s">
        <v>49</v>
      </c>
      <c r="M396" t="s">
        <v>147</v>
      </c>
      <c r="N396" t="s">
        <v>148</v>
      </c>
      <c r="O396" t="s">
        <v>52</v>
      </c>
      <c r="P396" t="s">
        <v>59</v>
      </c>
      <c r="Q396">
        <v>316085</v>
      </c>
      <c r="R396" t="s">
        <v>2074</v>
      </c>
      <c r="S396" t="s">
        <v>859</v>
      </c>
      <c r="T396">
        <v>4543606837</v>
      </c>
      <c r="U396" t="s">
        <v>34</v>
      </c>
      <c r="V396" t="s">
        <v>2474</v>
      </c>
      <c r="W396" s="1">
        <v>42644</v>
      </c>
    </row>
    <row r="397" spans="1:23" x14ac:dyDescent="0.25">
      <c r="A397" t="s">
        <v>2075</v>
      </c>
      <c r="B397" s="1">
        <v>45662</v>
      </c>
      <c r="C397" t="s">
        <v>2076</v>
      </c>
      <c r="D397" t="s">
        <v>676</v>
      </c>
      <c r="E397" t="s">
        <v>24</v>
      </c>
      <c r="F397">
        <v>35.54</v>
      </c>
      <c r="G397" t="s">
        <v>61</v>
      </c>
      <c r="H397">
        <v>78.189599999999999</v>
      </c>
      <c r="I397">
        <v>-1652203.92</v>
      </c>
      <c r="J397" t="s">
        <v>74</v>
      </c>
      <c r="K397">
        <v>-5448520594</v>
      </c>
      <c r="L397" t="s">
        <v>105</v>
      </c>
      <c r="M397" t="s">
        <v>40</v>
      </c>
      <c r="N397" t="s">
        <v>41</v>
      </c>
      <c r="O397" t="s">
        <v>70</v>
      </c>
      <c r="P397" t="s">
        <v>75</v>
      </c>
      <c r="Q397">
        <v>609880</v>
      </c>
      <c r="R397" t="s">
        <v>2077</v>
      </c>
      <c r="S397" t="s">
        <v>1346</v>
      </c>
      <c r="T397">
        <v>4204836926</v>
      </c>
      <c r="U397" t="s">
        <v>34</v>
      </c>
      <c r="V397" t="s">
        <v>2476</v>
      </c>
      <c r="W397" s="1">
        <v>44095</v>
      </c>
    </row>
    <row r="398" spans="1:23" x14ac:dyDescent="0.25">
      <c r="A398" t="s">
        <v>2081</v>
      </c>
      <c r="B398" s="1">
        <v>45870</v>
      </c>
      <c r="C398" t="s">
        <v>357</v>
      </c>
      <c r="D398" t="s">
        <v>203</v>
      </c>
      <c r="E398" t="s">
        <v>24</v>
      </c>
      <c r="F398">
        <v>8.1199999999999992</v>
      </c>
      <c r="G398" t="s">
        <v>61</v>
      </c>
      <c r="H398">
        <v>82.324399999999997</v>
      </c>
      <c r="I398">
        <v>-1850235.1</v>
      </c>
      <c r="J398" t="s">
        <v>128</v>
      </c>
      <c r="K398">
        <v>303884708</v>
      </c>
      <c r="L398" t="s">
        <v>129</v>
      </c>
      <c r="M398" t="s">
        <v>50</v>
      </c>
      <c r="N398" t="s">
        <v>111</v>
      </c>
      <c r="O398" t="s">
        <v>52</v>
      </c>
      <c r="P398" t="s">
        <v>126</v>
      </c>
      <c r="Q398">
        <v>644378</v>
      </c>
      <c r="R398" t="s">
        <v>2082</v>
      </c>
      <c r="S398" t="s">
        <v>568</v>
      </c>
      <c r="T398">
        <v>9497790168</v>
      </c>
      <c r="U398" t="s">
        <v>34</v>
      </c>
      <c r="V398" t="s">
        <v>2473</v>
      </c>
      <c r="W398" s="1">
        <v>44925</v>
      </c>
    </row>
    <row r="399" spans="1:23" x14ac:dyDescent="0.25">
      <c r="A399" t="s">
        <v>2084</v>
      </c>
      <c r="B399" s="1">
        <v>45390</v>
      </c>
      <c r="C399" t="s">
        <v>2056</v>
      </c>
      <c r="D399" t="s">
        <v>469</v>
      </c>
      <c r="E399" t="s">
        <v>55</v>
      </c>
      <c r="F399">
        <v>3.8</v>
      </c>
      <c r="G399" t="s">
        <v>2506</v>
      </c>
      <c r="H399">
        <v>1</v>
      </c>
      <c r="I399">
        <v>-2238035.9500000002</v>
      </c>
      <c r="J399" t="s">
        <v>74</v>
      </c>
      <c r="K399">
        <v>6590161133</v>
      </c>
      <c r="L399" t="s">
        <v>105</v>
      </c>
      <c r="M399" t="s">
        <v>28</v>
      </c>
      <c r="N399" t="s">
        <v>29</v>
      </c>
      <c r="O399" t="s">
        <v>100</v>
      </c>
      <c r="P399" t="s">
        <v>31</v>
      </c>
      <c r="Q399">
        <v>783895</v>
      </c>
      <c r="R399" t="s">
        <v>2085</v>
      </c>
      <c r="S399" t="s">
        <v>470</v>
      </c>
      <c r="T399">
        <v>-3971040936</v>
      </c>
      <c r="U399" t="s">
        <v>34</v>
      </c>
      <c r="V399" t="s">
        <v>2474</v>
      </c>
      <c r="W399" s="1">
        <v>2024</v>
      </c>
    </row>
    <row r="400" spans="1:23" x14ac:dyDescent="0.25">
      <c r="A400" t="s">
        <v>2086</v>
      </c>
      <c r="B400" s="1">
        <v>45514</v>
      </c>
      <c r="C400" t="s">
        <v>2087</v>
      </c>
      <c r="D400" t="s">
        <v>170</v>
      </c>
      <c r="E400" t="s">
        <v>55</v>
      </c>
      <c r="F400">
        <v>16.04</v>
      </c>
      <c r="G400" t="s">
        <v>47</v>
      </c>
      <c r="H400">
        <v>92.336100000000002</v>
      </c>
      <c r="I400">
        <v>-277549.11</v>
      </c>
      <c r="J400" t="s">
        <v>98</v>
      </c>
      <c r="K400">
        <v>-5965835210</v>
      </c>
      <c r="L400" t="s">
        <v>99</v>
      </c>
      <c r="M400" t="s">
        <v>50</v>
      </c>
      <c r="N400" t="s">
        <v>51</v>
      </c>
      <c r="O400" t="s">
        <v>42</v>
      </c>
      <c r="P400" t="s">
        <v>31</v>
      </c>
      <c r="Q400">
        <v>282255</v>
      </c>
      <c r="R400" t="s">
        <v>946</v>
      </c>
      <c r="S400" t="s">
        <v>1454</v>
      </c>
      <c r="T400">
        <v>9220025822</v>
      </c>
      <c r="U400" t="s">
        <v>34</v>
      </c>
      <c r="V400" t="s">
        <v>2472</v>
      </c>
      <c r="W400" s="1">
        <v>44334</v>
      </c>
    </row>
    <row r="401" spans="1:23" x14ac:dyDescent="0.25">
      <c r="A401" t="s">
        <v>2088</v>
      </c>
      <c r="B401" s="1">
        <v>44995</v>
      </c>
      <c r="C401" t="s">
        <v>2089</v>
      </c>
      <c r="D401" t="s">
        <v>251</v>
      </c>
      <c r="E401" t="s">
        <v>24</v>
      </c>
      <c r="F401">
        <v>403.1</v>
      </c>
      <c r="G401" t="s">
        <v>61</v>
      </c>
      <c r="H401">
        <v>72.273600000000002</v>
      </c>
      <c r="I401">
        <v>-2826278.25</v>
      </c>
      <c r="J401" t="s">
        <v>98</v>
      </c>
      <c r="K401">
        <v>-3363765532</v>
      </c>
      <c r="L401" t="s">
        <v>99</v>
      </c>
      <c r="M401" t="s">
        <v>121</v>
      </c>
      <c r="N401" t="s">
        <v>122</v>
      </c>
      <c r="O401" t="s">
        <v>79</v>
      </c>
      <c r="P401" t="s">
        <v>53</v>
      </c>
      <c r="Q401">
        <v>625812</v>
      </c>
      <c r="R401">
        <v>4783870000000000</v>
      </c>
      <c r="S401" t="s">
        <v>252</v>
      </c>
      <c r="T401">
        <v>3878204426</v>
      </c>
      <c r="U401" t="s">
        <v>34</v>
      </c>
      <c r="V401" t="s">
        <v>2472</v>
      </c>
      <c r="W401" s="1">
        <v>42293</v>
      </c>
    </row>
    <row r="402" spans="1:23" x14ac:dyDescent="0.25">
      <c r="A402" t="s">
        <v>2091</v>
      </c>
      <c r="B402" s="1">
        <v>45665</v>
      </c>
      <c r="C402" t="s">
        <v>2092</v>
      </c>
      <c r="D402" t="s">
        <v>695</v>
      </c>
      <c r="E402" t="s">
        <v>24</v>
      </c>
      <c r="F402">
        <v>36.31</v>
      </c>
      <c r="G402" t="s">
        <v>66</v>
      </c>
      <c r="H402">
        <v>1</v>
      </c>
      <c r="I402">
        <v>-1131488.73</v>
      </c>
      <c r="J402" t="s">
        <v>67</v>
      </c>
      <c r="K402">
        <v>-284294988</v>
      </c>
      <c r="L402" t="s">
        <v>178</v>
      </c>
      <c r="M402" t="s">
        <v>83</v>
      </c>
      <c r="N402" t="s">
        <v>117</v>
      </c>
      <c r="O402" t="s">
        <v>79</v>
      </c>
      <c r="P402" t="s">
        <v>43</v>
      </c>
      <c r="Q402">
        <v>229438</v>
      </c>
      <c r="R402" t="s">
        <v>2093</v>
      </c>
      <c r="S402" t="s">
        <v>696</v>
      </c>
      <c r="T402">
        <v>974273500</v>
      </c>
      <c r="U402" t="s">
        <v>34</v>
      </c>
      <c r="V402" t="s">
        <v>2478</v>
      </c>
      <c r="W402" s="1">
        <v>45392</v>
      </c>
    </row>
    <row r="403" spans="1:23" x14ac:dyDescent="0.25">
      <c r="A403" t="s">
        <v>2094</v>
      </c>
      <c r="B403" s="1">
        <v>45210</v>
      </c>
      <c r="C403" t="s">
        <v>2095</v>
      </c>
      <c r="D403" t="s">
        <v>183</v>
      </c>
      <c r="E403" t="s">
        <v>55</v>
      </c>
      <c r="F403">
        <v>9</v>
      </c>
      <c r="G403" t="s">
        <v>66</v>
      </c>
      <c r="H403">
        <v>1</v>
      </c>
      <c r="I403">
        <v>-2452357.0099999998</v>
      </c>
      <c r="J403" t="s">
        <v>116</v>
      </c>
      <c r="K403">
        <v>5762598723</v>
      </c>
      <c r="L403" t="s">
        <v>134</v>
      </c>
      <c r="M403" t="s">
        <v>147</v>
      </c>
      <c r="N403" t="s">
        <v>148</v>
      </c>
      <c r="O403" t="s">
        <v>30</v>
      </c>
      <c r="P403" t="s">
        <v>71</v>
      </c>
      <c r="Q403">
        <v>696756</v>
      </c>
      <c r="R403">
        <v>4814450000000000</v>
      </c>
      <c r="S403" t="s">
        <v>644</v>
      </c>
      <c r="T403">
        <v>-8776051175</v>
      </c>
      <c r="U403" t="s">
        <v>34</v>
      </c>
      <c r="V403" t="s">
        <v>2473</v>
      </c>
      <c r="W403" s="1">
        <v>45139</v>
      </c>
    </row>
    <row r="404" spans="1:23" x14ac:dyDescent="0.25">
      <c r="A404" t="s">
        <v>2096</v>
      </c>
      <c r="B404" s="1">
        <v>45417</v>
      </c>
      <c r="C404" t="s">
        <v>1514</v>
      </c>
      <c r="D404" t="s">
        <v>516</v>
      </c>
      <c r="E404" t="s">
        <v>24</v>
      </c>
      <c r="F404">
        <v>36.130000000000003</v>
      </c>
      <c r="G404" t="s">
        <v>61</v>
      </c>
      <c r="H404">
        <v>73.521000000000001</v>
      </c>
      <c r="I404">
        <v>-1676460.85</v>
      </c>
      <c r="J404" t="s">
        <v>74</v>
      </c>
      <c r="K404">
        <v>5669108471</v>
      </c>
      <c r="L404" t="s">
        <v>105</v>
      </c>
      <c r="M404" t="s">
        <v>68</v>
      </c>
      <c r="N404" t="s">
        <v>114</v>
      </c>
      <c r="O404" t="s">
        <v>30</v>
      </c>
      <c r="P404" t="s">
        <v>53</v>
      </c>
      <c r="Q404">
        <v>701090</v>
      </c>
      <c r="R404">
        <v>4154540000000000</v>
      </c>
      <c r="S404" t="s">
        <v>518</v>
      </c>
      <c r="T404">
        <v>3266473633</v>
      </c>
      <c r="U404" t="s">
        <v>34</v>
      </c>
      <c r="V404" t="s">
        <v>2477</v>
      </c>
      <c r="W404" s="1">
        <v>45809</v>
      </c>
    </row>
    <row r="405" spans="1:23" x14ac:dyDescent="0.25">
      <c r="A405" t="s">
        <v>2097</v>
      </c>
      <c r="B405" s="1">
        <v>45931</v>
      </c>
      <c r="C405" t="s">
        <v>2098</v>
      </c>
      <c r="D405" t="s">
        <v>76</v>
      </c>
      <c r="E405" t="s">
        <v>24</v>
      </c>
      <c r="F405">
        <v>44.67</v>
      </c>
      <c r="G405" t="s">
        <v>61</v>
      </c>
      <c r="H405">
        <v>81.616799999999998</v>
      </c>
      <c r="I405">
        <v>-2825287.7</v>
      </c>
      <c r="J405" t="s">
        <v>96</v>
      </c>
      <c r="K405">
        <v>-1529531622</v>
      </c>
      <c r="L405" t="s">
        <v>97</v>
      </c>
      <c r="M405" t="s">
        <v>57</v>
      </c>
      <c r="N405" t="s">
        <v>63</v>
      </c>
      <c r="O405" t="s">
        <v>30</v>
      </c>
      <c r="P405" t="s">
        <v>31</v>
      </c>
      <c r="Q405">
        <v>700867</v>
      </c>
      <c r="R405" t="s">
        <v>2099</v>
      </c>
      <c r="S405" t="s">
        <v>614</v>
      </c>
      <c r="T405">
        <v>4974436870</v>
      </c>
      <c r="U405" t="s">
        <v>34</v>
      </c>
      <c r="V405" t="s">
        <v>2474</v>
      </c>
      <c r="W405" s="1">
        <v>2022</v>
      </c>
    </row>
    <row r="406" spans="1:23" x14ac:dyDescent="0.25">
      <c r="A406" t="s">
        <v>2100</v>
      </c>
      <c r="B406" s="1">
        <v>45541</v>
      </c>
      <c r="C406" t="s">
        <v>1780</v>
      </c>
      <c r="D406" t="s">
        <v>204</v>
      </c>
      <c r="E406" t="s">
        <v>55</v>
      </c>
      <c r="F406">
        <v>93.34</v>
      </c>
      <c r="G406" t="s">
        <v>56</v>
      </c>
      <c r="H406">
        <v>21.599</v>
      </c>
      <c r="I406">
        <v>-2936206.1</v>
      </c>
      <c r="J406" t="s">
        <v>26</v>
      </c>
      <c r="K406">
        <v>5419648017</v>
      </c>
      <c r="L406" t="s">
        <v>27</v>
      </c>
      <c r="M406" t="s">
        <v>28</v>
      </c>
      <c r="N406" t="s">
        <v>119</v>
      </c>
      <c r="O406" t="s">
        <v>100</v>
      </c>
      <c r="P406" t="s">
        <v>59</v>
      </c>
      <c r="Q406">
        <v>409601</v>
      </c>
      <c r="R406" t="s">
        <v>707</v>
      </c>
      <c r="S406" t="s">
        <v>1019</v>
      </c>
      <c r="T406">
        <v>3367436341</v>
      </c>
      <c r="U406" t="s">
        <v>34</v>
      </c>
      <c r="V406" t="s">
        <v>2474</v>
      </c>
      <c r="W406" s="1">
        <v>2019</v>
      </c>
    </row>
    <row r="407" spans="1:23" x14ac:dyDescent="0.25">
      <c r="A407" t="s">
        <v>2101</v>
      </c>
      <c r="B407" s="1">
        <v>45271</v>
      </c>
      <c r="C407" t="s">
        <v>741</v>
      </c>
      <c r="D407" t="s">
        <v>545</v>
      </c>
      <c r="E407" t="s">
        <v>24</v>
      </c>
      <c r="F407">
        <v>663.08</v>
      </c>
      <c r="G407" t="s">
        <v>47</v>
      </c>
      <c r="H407">
        <v>98.661500000000004</v>
      </c>
      <c r="I407">
        <v>-2874521.64</v>
      </c>
      <c r="J407" t="s">
        <v>86</v>
      </c>
      <c r="K407">
        <v>5898779402</v>
      </c>
      <c r="L407" t="s">
        <v>181</v>
      </c>
      <c r="M407" t="s">
        <v>87</v>
      </c>
      <c r="N407" t="s">
        <v>88</v>
      </c>
      <c r="O407" t="s">
        <v>70</v>
      </c>
      <c r="P407" t="s">
        <v>126</v>
      </c>
      <c r="Q407">
        <v>680902</v>
      </c>
      <c r="R407" t="s">
        <v>2102</v>
      </c>
      <c r="S407" t="s">
        <v>546</v>
      </c>
      <c r="T407">
        <v>3599139185</v>
      </c>
      <c r="U407" t="s">
        <v>34</v>
      </c>
      <c r="V407" t="s">
        <v>2474</v>
      </c>
      <c r="W407" s="1">
        <v>45505</v>
      </c>
    </row>
    <row r="408" spans="1:23" x14ac:dyDescent="0.25">
      <c r="A408" t="s">
        <v>2103</v>
      </c>
      <c r="B408" s="1">
        <v>45417</v>
      </c>
      <c r="C408" t="s">
        <v>2104</v>
      </c>
      <c r="D408" t="s">
        <v>538</v>
      </c>
      <c r="E408" t="s">
        <v>73</v>
      </c>
      <c r="F408">
        <v>34.770000000000003</v>
      </c>
      <c r="G408" t="s">
        <v>56</v>
      </c>
      <c r="H408">
        <v>18.718599999999999</v>
      </c>
      <c r="I408">
        <v>-593574.44999999995</v>
      </c>
      <c r="J408" t="s">
        <v>62</v>
      </c>
      <c r="K408">
        <v>548016445</v>
      </c>
      <c r="L408" t="s">
        <v>131</v>
      </c>
      <c r="M408" t="s">
        <v>57</v>
      </c>
      <c r="N408" t="s">
        <v>63</v>
      </c>
      <c r="O408" t="s">
        <v>30</v>
      </c>
      <c r="P408" t="s">
        <v>75</v>
      </c>
      <c r="Q408">
        <v>798706</v>
      </c>
      <c r="R408" t="s">
        <v>2105</v>
      </c>
      <c r="S408" t="s">
        <v>539</v>
      </c>
      <c r="T408">
        <v>7191128176</v>
      </c>
      <c r="U408" t="s">
        <v>34</v>
      </c>
      <c r="V408" t="s">
        <v>2474</v>
      </c>
      <c r="W408" s="1">
        <v>44562</v>
      </c>
    </row>
    <row r="409" spans="1:23" x14ac:dyDescent="0.25">
      <c r="A409" t="s">
        <v>2106</v>
      </c>
      <c r="B409" s="1">
        <v>45996</v>
      </c>
      <c r="C409" t="s">
        <v>885</v>
      </c>
      <c r="D409" t="s">
        <v>506</v>
      </c>
      <c r="E409" t="s">
        <v>55</v>
      </c>
      <c r="F409">
        <v>5.36</v>
      </c>
      <c r="G409" t="s">
        <v>66</v>
      </c>
      <c r="H409">
        <v>1</v>
      </c>
      <c r="I409">
        <v>-1273132.52</v>
      </c>
      <c r="J409" t="s">
        <v>81</v>
      </c>
      <c r="K409">
        <v>2705247943</v>
      </c>
      <c r="L409" t="s">
        <v>82</v>
      </c>
      <c r="M409" t="s">
        <v>121</v>
      </c>
      <c r="N409" t="s">
        <v>222</v>
      </c>
      <c r="O409" t="s">
        <v>30</v>
      </c>
      <c r="P409" t="s">
        <v>75</v>
      </c>
      <c r="Q409">
        <v>560309</v>
      </c>
      <c r="R409" t="s">
        <v>2107</v>
      </c>
      <c r="S409" t="s">
        <v>959</v>
      </c>
      <c r="T409">
        <v>4969170920</v>
      </c>
      <c r="U409" t="s">
        <v>34</v>
      </c>
      <c r="V409" t="s">
        <v>2478</v>
      </c>
      <c r="W409" s="1">
        <v>42980</v>
      </c>
    </row>
    <row r="410" spans="1:23" x14ac:dyDescent="0.25">
      <c r="A410" t="s">
        <v>2108</v>
      </c>
      <c r="B410" s="1">
        <v>45515</v>
      </c>
      <c r="C410" t="s">
        <v>2109</v>
      </c>
      <c r="D410" t="s">
        <v>2110</v>
      </c>
      <c r="E410" t="s">
        <v>73</v>
      </c>
      <c r="F410">
        <v>60.74</v>
      </c>
      <c r="G410" t="s">
        <v>66</v>
      </c>
      <c r="H410">
        <v>1</v>
      </c>
      <c r="I410">
        <v>-1198355.68</v>
      </c>
      <c r="J410" t="s">
        <v>62</v>
      </c>
      <c r="K410">
        <v>-8689737451</v>
      </c>
      <c r="L410" t="s">
        <v>131</v>
      </c>
      <c r="M410" t="s">
        <v>40</v>
      </c>
      <c r="N410" t="s">
        <v>139</v>
      </c>
      <c r="O410" t="s">
        <v>30</v>
      </c>
      <c r="P410" t="s">
        <v>59</v>
      </c>
      <c r="Q410">
        <v>518422</v>
      </c>
      <c r="R410" t="s">
        <v>2111</v>
      </c>
      <c r="S410" t="s">
        <v>2112</v>
      </c>
      <c r="T410">
        <v>2036185497</v>
      </c>
      <c r="U410" t="s">
        <v>34</v>
      </c>
      <c r="V410" t="s">
        <v>2476</v>
      </c>
      <c r="W410" s="1">
        <v>45017</v>
      </c>
    </row>
    <row r="411" spans="1:23" x14ac:dyDescent="0.25">
      <c r="A411" t="s">
        <v>2113</v>
      </c>
      <c r="B411" s="1">
        <v>45839</v>
      </c>
      <c r="C411" t="s">
        <v>2114</v>
      </c>
      <c r="D411" t="s">
        <v>483</v>
      </c>
      <c r="E411" t="s">
        <v>55</v>
      </c>
      <c r="F411">
        <v>61.67</v>
      </c>
      <c r="G411" t="s">
        <v>56</v>
      </c>
      <c r="H411">
        <v>21.6966</v>
      </c>
      <c r="I411">
        <v>-2678677.7200000002</v>
      </c>
      <c r="J411" t="s">
        <v>81</v>
      </c>
      <c r="K411">
        <v>9319044940</v>
      </c>
      <c r="L411" t="s">
        <v>82</v>
      </c>
      <c r="M411" t="s">
        <v>50</v>
      </c>
      <c r="N411" t="s">
        <v>51</v>
      </c>
      <c r="O411" t="s">
        <v>70</v>
      </c>
      <c r="P411" t="s">
        <v>75</v>
      </c>
      <c r="Q411">
        <v>860839</v>
      </c>
      <c r="R411" t="s">
        <v>1824</v>
      </c>
      <c r="S411" t="s">
        <v>1952</v>
      </c>
      <c r="T411">
        <v>3846105675</v>
      </c>
      <c r="U411" t="s">
        <v>34</v>
      </c>
      <c r="V411" t="s">
        <v>2475</v>
      </c>
      <c r="W411" s="1">
        <v>44611</v>
      </c>
    </row>
    <row r="412" spans="1:23" x14ac:dyDescent="0.25">
      <c r="A412" t="s">
        <v>2116</v>
      </c>
      <c r="B412" s="1">
        <v>45391</v>
      </c>
      <c r="C412" t="s">
        <v>2117</v>
      </c>
      <c r="D412" t="s">
        <v>435</v>
      </c>
      <c r="E412" t="s">
        <v>24</v>
      </c>
      <c r="F412">
        <v>130.65</v>
      </c>
      <c r="G412" t="s">
        <v>61</v>
      </c>
      <c r="H412">
        <v>80.494600000000005</v>
      </c>
      <c r="I412">
        <v>-279608.61</v>
      </c>
      <c r="J412" t="s">
        <v>74</v>
      </c>
      <c r="K412">
        <v>4437326252</v>
      </c>
      <c r="L412" t="s">
        <v>105</v>
      </c>
      <c r="M412" t="s">
        <v>68</v>
      </c>
      <c r="N412" t="s">
        <v>69</v>
      </c>
      <c r="O412" t="s">
        <v>42</v>
      </c>
      <c r="P412" t="s">
        <v>75</v>
      </c>
      <c r="Q412">
        <v>992791</v>
      </c>
      <c r="R412" t="s">
        <v>993</v>
      </c>
      <c r="S412" t="s">
        <v>2118</v>
      </c>
      <c r="T412">
        <v>2621288159</v>
      </c>
      <c r="U412" t="s">
        <v>34</v>
      </c>
      <c r="V412" t="s">
        <v>2472</v>
      </c>
      <c r="W412" s="1">
        <v>42675</v>
      </c>
    </row>
    <row r="413" spans="1:23" x14ac:dyDescent="0.25">
      <c r="A413" t="s">
        <v>2119</v>
      </c>
      <c r="B413" s="1">
        <v>45448</v>
      </c>
      <c r="C413" t="s">
        <v>2120</v>
      </c>
      <c r="D413" t="s">
        <v>352</v>
      </c>
      <c r="E413" t="s">
        <v>73</v>
      </c>
      <c r="F413">
        <v>24.79</v>
      </c>
      <c r="G413" t="s">
        <v>47</v>
      </c>
      <c r="H413">
        <v>99.615700000000004</v>
      </c>
      <c r="I413">
        <v>-1105561.3700000001</v>
      </c>
      <c r="J413" t="s">
        <v>81</v>
      </c>
      <c r="K413">
        <v>-4850369212</v>
      </c>
      <c r="L413" t="s">
        <v>82</v>
      </c>
      <c r="M413" t="s">
        <v>50</v>
      </c>
      <c r="N413" t="s">
        <v>111</v>
      </c>
      <c r="O413" t="s">
        <v>79</v>
      </c>
      <c r="P413" t="s">
        <v>153</v>
      </c>
      <c r="Q413">
        <v>979904</v>
      </c>
      <c r="R413">
        <v>4216500000000000</v>
      </c>
      <c r="S413" t="s">
        <v>1187</v>
      </c>
      <c r="T413">
        <v>-4429184900</v>
      </c>
      <c r="U413" t="s">
        <v>34</v>
      </c>
      <c r="V413" t="s">
        <v>2474</v>
      </c>
      <c r="W413" s="1">
        <v>45389</v>
      </c>
    </row>
    <row r="414" spans="1:23" x14ac:dyDescent="0.25">
      <c r="A414" t="s">
        <v>2124</v>
      </c>
      <c r="B414" s="1">
        <v>44938</v>
      </c>
      <c r="C414" t="s">
        <v>2125</v>
      </c>
      <c r="D414" t="s">
        <v>902</v>
      </c>
      <c r="E414" t="s">
        <v>73</v>
      </c>
      <c r="F414">
        <v>16.48</v>
      </c>
      <c r="G414" t="s">
        <v>66</v>
      </c>
      <c r="H414">
        <v>1</v>
      </c>
      <c r="I414">
        <v>-1886988.69</v>
      </c>
      <c r="J414" t="s">
        <v>96</v>
      </c>
      <c r="K414">
        <v>9287711095</v>
      </c>
      <c r="L414" t="s">
        <v>97</v>
      </c>
      <c r="M414" t="s">
        <v>68</v>
      </c>
      <c r="N414" t="s">
        <v>277</v>
      </c>
      <c r="O414" t="s">
        <v>79</v>
      </c>
      <c r="P414" t="s">
        <v>71</v>
      </c>
      <c r="Q414">
        <v>542262</v>
      </c>
      <c r="R414" t="s">
        <v>2126</v>
      </c>
      <c r="S414" t="s">
        <v>1108</v>
      </c>
      <c r="T414">
        <v>8003390238</v>
      </c>
      <c r="U414" t="s">
        <v>34</v>
      </c>
      <c r="V414" t="s">
        <v>2475</v>
      </c>
      <c r="W414" s="1">
        <v>2025</v>
      </c>
    </row>
    <row r="415" spans="1:23" x14ac:dyDescent="0.25">
      <c r="A415" t="s">
        <v>2128</v>
      </c>
      <c r="B415" s="1">
        <v>45538</v>
      </c>
      <c r="C415" t="s">
        <v>2129</v>
      </c>
      <c r="D415" t="s">
        <v>412</v>
      </c>
      <c r="E415" t="s">
        <v>73</v>
      </c>
      <c r="F415">
        <v>96.65</v>
      </c>
      <c r="G415" t="s">
        <v>66</v>
      </c>
      <c r="H415">
        <v>1</v>
      </c>
      <c r="I415">
        <v>-1270012.3999999999</v>
      </c>
      <c r="J415" t="s">
        <v>48</v>
      </c>
      <c r="K415">
        <v>-5432164380</v>
      </c>
      <c r="L415" t="s">
        <v>49</v>
      </c>
      <c r="M415" t="s">
        <v>87</v>
      </c>
      <c r="N415" t="s">
        <v>88</v>
      </c>
      <c r="O415" t="s">
        <v>100</v>
      </c>
      <c r="P415" t="s">
        <v>93</v>
      </c>
      <c r="Q415">
        <v>761644</v>
      </c>
      <c r="R415" t="s">
        <v>2130</v>
      </c>
      <c r="S415" t="s">
        <v>1951</v>
      </c>
      <c r="T415">
        <v>-9069265406</v>
      </c>
      <c r="U415" t="s">
        <v>34</v>
      </c>
      <c r="V415" t="s">
        <v>2475</v>
      </c>
      <c r="W415" s="1">
        <v>44569</v>
      </c>
    </row>
    <row r="416" spans="1:23" x14ac:dyDescent="0.25">
      <c r="A416" t="s">
        <v>2131</v>
      </c>
      <c r="B416" s="1">
        <v>45602</v>
      </c>
      <c r="C416" t="s">
        <v>1305</v>
      </c>
      <c r="D416" t="s">
        <v>368</v>
      </c>
      <c r="E416" t="s">
        <v>24</v>
      </c>
      <c r="F416">
        <v>70.97</v>
      </c>
      <c r="G416" t="s">
        <v>47</v>
      </c>
      <c r="H416">
        <v>106.8288</v>
      </c>
      <c r="I416">
        <v>-540834.46</v>
      </c>
      <c r="J416" t="s">
        <v>67</v>
      </c>
      <c r="K416">
        <v>6273875549</v>
      </c>
      <c r="L416" t="s">
        <v>178</v>
      </c>
      <c r="M416" t="s">
        <v>147</v>
      </c>
      <c r="N416" t="s">
        <v>155</v>
      </c>
      <c r="O416" t="s">
        <v>79</v>
      </c>
      <c r="P416" t="s">
        <v>153</v>
      </c>
      <c r="Q416">
        <v>304525</v>
      </c>
      <c r="R416" t="s">
        <v>2132</v>
      </c>
      <c r="S416" t="s">
        <v>369</v>
      </c>
      <c r="T416">
        <v>4485140450</v>
      </c>
      <c r="U416" t="s">
        <v>34</v>
      </c>
      <c r="V416" t="s">
        <v>2472</v>
      </c>
      <c r="W416" s="1">
        <v>2020</v>
      </c>
    </row>
    <row r="417" spans="1:23" x14ac:dyDescent="0.25">
      <c r="A417" t="s">
        <v>2133</v>
      </c>
      <c r="B417" s="1">
        <v>44997</v>
      </c>
      <c r="C417" t="s">
        <v>2134</v>
      </c>
      <c r="D417" t="s">
        <v>831</v>
      </c>
      <c r="E417" t="s">
        <v>24</v>
      </c>
      <c r="F417">
        <v>1454.57</v>
      </c>
      <c r="G417" t="s">
        <v>61</v>
      </c>
      <c r="H417">
        <v>82.771900000000002</v>
      </c>
      <c r="I417">
        <v>-2208234.11</v>
      </c>
      <c r="J417" t="s">
        <v>128</v>
      </c>
      <c r="K417">
        <v>1547951162</v>
      </c>
      <c r="L417" t="s">
        <v>129</v>
      </c>
      <c r="M417" t="s">
        <v>83</v>
      </c>
      <c r="N417" t="s">
        <v>117</v>
      </c>
      <c r="O417" t="s">
        <v>42</v>
      </c>
      <c r="P417" t="s">
        <v>93</v>
      </c>
      <c r="Q417">
        <v>876325</v>
      </c>
      <c r="R417" t="s">
        <v>2135</v>
      </c>
      <c r="S417" t="s">
        <v>1494</v>
      </c>
      <c r="T417">
        <v>5871101298</v>
      </c>
      <c r="U417" t="s">
        <v>34</v>
      </c>
      <c r="V417" t="s">
        <v>2477</v>
      </c>
      <c r="W417" s="1">
        <v>45737</v>
      </c>
    </row>
    <row r="418" spans="1:23" x14ac:dyDescent="0.25">
      <c r="A418" t="s">
        <v>2136</v>
      </c>
      <c r="B418" s="1">
        <v>45476</v>
      </c>
      <c r="C418" t="s">
        <v>2137</v>
      </c>
      <c r="D418" t="s">
        <v>999</v>
      </c>
      <c r="E418" t="s">
        <v>55</v>
      </c>
      <c r="F418">
        <v>72.09</v>
      </c>
      <c r="G418" t="s">
        <v>66</v>
      </c>
      <c r="H418">
        <v>1</v>
      </c>
      <c r="I418">
        <v>-985848.23</v>
      </c>
      <c r="J418" t="s">
        <v>48</v>
      </c>
      <c r="K418">
        <v>6976493999</v>
      </c>
      <c r="L418" t="s">
        <v>49</v>
      </c>
      <c r="M418" t="s">
        <v>87</v>
      </c>
      <c r="N418" t="s">
        <v>88</v>
      </c>
      <c r="O418" t="s">
        <v>42</v>
      </c>
      <c r="P418" t="s">
        <v>59</v>
      </c>
      <c r="Q418">
        <v>673795</v>
      </c>
      <c r="R418" t="s">
        <v>1330</v>
      </c>
      <c r="S418" t="s">
        <v>1000</v>
      </c>
      <c r="T418">
        <v>3079150857</v>
      </c>
      <c r="U418" t="s">
        <v>34</v>
      </c>
      <c r="V418" t="s">
        <v>2475</v>
      </c>
      <c r="W418" s="1">
        <v>46062</v>
      </c>
    </row>
    <row r="419" spans="1:23" x14ac:dyDescent="0.25">
      <c r="A419" t="s">
        <v>2138</v>
      </c>
      <c r="B419" s="1">
        <v>45505</v>
      </c>
      <c r="C419" t="s">
        <v>2139</v>
      </c>
      <c r="D419" t="s">
        <v>2140</v>
      </c>
      <c r="E419" t="s">
        <v>24</v>
      </c>
      <c r="F419">
        <v>104.83</v>
      </c>
      <c r="G419" t="s">
        <v>56</v>
      </c>
      <c r="H419">
        <v>18.856000000000002</v>
      </c>
      <c r="I419">
        <v>-2120790.11</v>
      </c>
      <c r="J419" t="s">
        <v>96</v>
      </c>
      <c r="K419">
        <v>-2275656374</v>
      </c>
      <c r="L419" t="s">
        <v>97</v>
      </c>
      <c r="M419" t="s">
        <v>77</v>
      </c>
      <c r="N419" t="s">
        <v>78</v>
      </c>
      <c r="O419" t="s">
        <v>42</v>
      </c>
      <c r="P419" t="s">
        <v>31</v>
      </c>
      <c r="Q419">
        <v>512838</v>
      </c>
      <c r="R419" t="s">
        <v>32</v>
      </c>
      <c r="S419" t="s">
        <v>2141</v>
      </c>
      <c r="T419">
        <v>8378121098</v>
      </c>
      <c r="U419" t="s">
        <v>34</v>
      </c>
      <c r="V419" t="s">
        <v>2478</v>
      </c>
      <c r="W419" s="1">
        <v>44986</v>
      </c>
    </row>
    <row r="420" spans="1:23" x14ac:dyDescent="0.25">
      <c r="A420" t="s">
        <v>2142</v>
      </c>
      <c r="B420" s="1">
        <v>45180</v>
      </c>
      <c r="C420" t="s">
        <v>2143</v>
      </c>
      <c r="D420" t="s">
        <v>433</v>
      </c>
      <c r="E420" t="s">
        <v>24</v>
      </c>
      <c r="F420">
        <v>171.12</v>
      </c>
      <c r="G420" t="s">
        <v>61</v>
      </c>
      <c r="H420">
        <v>76.342500000000001</v>
      </c>
      <c r="I420">
        <v>-258279.2</v>
      </c>
      <c r="J420" t="s">
        <v>128</v>
      </c>
      <c r="K420">
        <v>-5160638002</v>
      </c>
      <c r="L420" t="s">
        <v>129</v>
      </c>
      <c r="M420" t="s">
        <v>87</v>
      </c>
      <c r="N420" t="s">
        <v>151</v>
      </c>
      <c r="O420" t="s">
        <v>70</v>
      </c>
      <c r="P420" t="s">
        <v>53</v>
      </c>
      <c r="Q420">
        <v>690194</v>
      </c>
      <c r="R420" t="s">
        <v>2144</v>
      </c>
      <c r="S420" t="s">
        <v>1367</v>
      </c>
      <c r="T420">
        <v>210785850</v>
      </c>
      <c r="U420" t="s">
        <v>34</v>
      </c>
      <c r="V420" t="s">
        <v>2476</v>
      </c>
      <c r="W420" s="1">
        <v>42736</v>
      </c>
    </row>
    <row r="421" spans="1:23" x14ac:dyDescent="0.25">
      <c r="A421" t="s">
        <v>2145</v>
      </c>
      <c r="B421" s="1">
        <v>45574</v>
      </c>
      <c r="C421" t="s">
        <v>646</v>
      </c>
      <c r="D421" t="s">
        <v>244</v>
      </c>
      <c r="E421" t="s">
        <v>24</v>
      </c>
      <c r="F421">
        <v>20.49</v>
      </c>
      <c r="G421" t="s">
        <v>61</v>
      </c>
      <c r="H421">
        <v>74.027600000000007</v>
      </c>
      <c r="I421">
        <v>-2118440.34</v>
      </c>
      <c r="J421" t="s">
        <v>128</v>
      </c>
      <c r="K421">
        <v>330795988</v>
      </c>
      <c r="L421" t="s">
        <v>129</v>
      </c>
      <c r="M421" t="s">
        <v>57</v>
      </c>
      <c r="N421" t="s">
        <v>63</v>
      </c>
      <c r="O421" t="s">
        <v>42</v>
      </c>
      <c r="P421" t="s">
        <v>107</v>
      </c>
      <c r="Q421">
        <v>237057</v>
      </c>
      <c r="R421" t="s">
        <v>2090</v>
      </c>
      <c r="S421" t="s">
        <v>274</v>
      </c>
      <c r="T421">
        <v>-219318863</v>
      </c>
      <c r="U421" t="s">
        <v>34</v>
      </c>
      <c r="V421" t="s">
        <v>2473</v>
      </c>
      <c r="W421" s="1">
        <v>45231</v>
      </c>
    </row>
    <row r="422" spans="1:23" x14ac:dyDescent="0.25">
      <c r="A422" t="s">
        <v>2147</v>
      </c>
      <c r="B422" s="1">
        <v>45842</v>
      </c>
      <c r="C422" t="s">
        <v>2148</v>
      </c>
      <c r="D422" t="s">
        <v>284</v>
      </c>
      <c r="E422" t="s">
        <v>24</v>
      </c>
      <c r="F422">
        <v>18.55</v>
      </c>
      <c r="G422" t="s">
        <v>66</v>
      </c>
      <c r="H422">
        <v>1</v>
      </c>
      <c r="I422">
        <v>-2452514.86</v>
      </c>
      <c r="J422" t="s">
        <v>96</v>
      </c>
      <c r="K422">
        <v>9446103955</v>
      </c>
      <c r="L422" t="s">
        <v>97</v>
      </c>
      <c r="M422" t="s">
        <v>77</v>
      </c>
      <c r="N422" t="s">
        <v>136</v>
      </c>
      <c r="O422" t="s">
        <v>79</v>
      </c>
      <c r="P422" t="s">
        <v>153</v>
      </c>
      <c r="Q422">
        <v>786022</v>
      </c>
      <c r="R422" t="s">
        <v>1411</v>
      </c>
      <c r="S422" t="s">
        <v>286</v>
      </c>
      <c r="T422">
        <v>-7801639422</v>
      </c>
      <c r="U422" t="s">
        <v>34</v>
      </c>
      <c r="V422" t="s">
        <v>2483</v>
      </c>
      <c r="W422" s="1">
        <v>2019</v>
      </c>
    </row>
    <row r="423" spans="1:23" x14ac:dyDescent="0.25">
      <c r="A423" t="s">
        <v>2149</v>
      </c>
      <c r="B423" s="1">
        <v>45574</v>
      </c>
      <c r="C423" t="s">
        <v>2150</v>
      </c>
      <c r="D423" t="s">
        <v>358</v>
      </c>
      <c r="E423" t="s">
        <v>55</v>
      </c>
      <c r="F423">
        <v>258.38</v>
      </c>
      <c r="G423" t="s">
        <v>61</v>
      </c>
      <c r="H423">
        <v>82.456699999999998</v>
      </c>
      <c r="I423">
        <v>-1880287.37</v>
      </c>
      <c r="J423" t="s">
        <v>62</v>
      </c>
      <c r="K423">
        <v>3418139879</v>
      </c>
      <c r="L423" t="s">
        <v>131</v>
      </c>
      <c r="M423" t="s">
        <v>68</v>
      </c>
      <c r="N423" t="s">
        <v>277</v>
      </c>
      <c r="O423" t="s">
        <v>70</v>
      </c>
      <c r="P423" t="s">
        <v>107</v>
      </c>
      <c r="Q423">
        <v>121972</v>
      </c>
      <c r="R423" t="s">
        <v>2151</v>
      </c>
      <c r="S423" t="s">
        <v>359</v>
      </c>
      <c r="T423">
        <v>7828954654</v>
      </c>
      <c r="U423" t="s">
        <v>34</v>
      </c>
      <c r="V423" t="s">
        <v>2472</v>
      </c>
      <c r="W423" s="1">
        <v>46054</v>
      </c>
    </row>
    <row r="424" spans="1:23" x14ac:dyDescent="0.25">
      <c r="A424" t="s">
        <v>2152</v>
      </c>
      <c r="B424" s="1">
        <v>45482</v>
      </c>
      <c r="C424" t="s">
        <v>659</v>
      </c>
      <c r="D424" t="s">
        <v>603</v>
      </c>
      <c r="E424" t="s">
        <v>24</v>
      </c>
      <c r="F424">
        <v>2.58</v>
      </c>
      <c r="G424" t="s">
        <v>47</v>
      </c>
      <c r="H424">
        <v>104.9632</v>
      </c>
      <c r="I424">
        <v>-1676565</v>
      </c>
      <c r="J424" t="s">
        <v>74</v>
      </c>
      <c r="K424">
        <v>5978293819</v>
      </c>
      <c r="L424" t="s">
        <v>105</v>
      </c>
      <c r="M424" t="s">
        <v>147</v>
      </c>
      <c r="N424" t="s">
        <v>148</v>
      </c>
      <c r="O424" t="s">
        <v>52</v>
      </c>
      <c r="P424" t="s">
        <v>43</v>
      </c>
      <c r="Q424">
        <v>744403</v>
      </c>
      <c r="R424" t="s">
        <v>1872</v>
      </c>
      <c r="S424" t="s">
        <v>604</v>
      </c>
      <c r="T424">
        <v>6730451793</v>
      </c>
      <c r="U424" t="s">
        <v>385</v>
      </c>
      <c r="V424" t="s">
        <v>2477</v>
      </c>
      <c r="W424" s="1">
        <v>46041</v>
      </c>
    </row>
    <row r="425" spans="1:23" x14ac:dyDescent="0.25">
      <c r="A425" t="s">
        <v>2153</v>
      </c>
      <c r="B425" s="1">
        <v>45445</v>
      </c>
      <c r="C425" t="s">
        <v>2083</v>
      </c>
      <c r="D425" t="s">
        <v>177</v>
      </c>
      <c r="E425" t="s">
        <v>24</v>
      </c>
      <c r="F425">
        <v>6.32</v>
      </c>
      <c r="G425" t="s">
        <v>61</v>
      </c>
      <c r="H425">
        <v>82.164900000000003</v>
      </c>
      <c r="I425">
        <v>-2677865.58</v>
      </c>
      <c r="J425" t="s">
        <v>67</v>
      </c>
      <c r="K425">
        <v>339966160</v>
      </c>
      <c r="L425" t="s">
        <v>178</v>
      </c>
      <c r="M425" t="s">
        <v>28</v>
      </c>
      <c r="N425" t="s">
        <v>29</v>
      </c>
      <c r="O425" t="s">
        <v>100</v>
      </c>
      <c r="P425" t="s">
        <v>53</v>
      </c>
      <c r="Q425">
        <v>677487</v>
      </c>
      <c r="R425" t="s">
        <v>2154</v>
      </c>
      <c r="S425" t="s">
        <v>708</v>
      </c>
      <c r="T425">
        <v>2832941484</v>
      </c>
      <c r="U425" t="s">
        <v>34</v>
      </c>
      <c r="V425" t="s">
        <v>2476</v>
      </c>
      <c r="W425" s="1">
        <v>44682</v>
      </c>
    </row>
    <row r="426" spans="1:23" x14ac:dyDescent="0.25">
      <c r="A426" t="s">
        <v>2155</v>
      </c>
      <c r="B426" s="1">
        <v>45455</v>
      </c>
      <c r="C426" t="s">
        <v>1560</v>
      </c>
      <c r="D426" t="s">
        <v>949</v>
      </c>
      <c r="E426" t="s">
        <v>24</v>
      </c>
      <c r="F426">
        <v>636.44000000000005</v>
      </c>
      <c r="G426" t="s">
        <v>61</v>
      </c>
      <c r="H426">
        <v>82.295900000000003</v>
      </c>
      <c r="I426">
        <v>-145694.68</v>
      </c>
      <c r="J426" t="s">
        <v>98</v>
      </c>
      <c r="K426">
        <v>5548874481</v>
      </c>
      <c r="L426" t="s">
        <v>99</v>
      </c>
      <c r="M426" t="s">
        <v>121</v>
      </c>
      <c r="N426" t="s">
        <v>122</v>
      </c>
      <c r="O426" t="s">
        <v>70</v>
      </c>
      <c r="P426" t="s">
        <v>75</v>
      </c>
      <c r="Q426">
        <v>602736</v>
      </c>
      <c r="R426" t="s">
        <v>1832</v>
      </c>
      <c r="S426" t="s">
        <v>1688</v>
      </c>
      <c r="T426">
        <v>8250652598</v>
      </c>
      <c r="U426" t="s">
        <v>34</v>
      </c>
      <c r="V426" t="s">
        <v>2473</v>
      </c>
      <c r="W426" s="1">
        <v>44927</v>
      </c>
    </row>
    <row r="427" spans="1:23" x14ac:dyDescent="0.25">
      <c r="A427" t="s">
        <v>2156</v>
      </c>
      <c r="B427" s="1">
        <v>45324</v>
      </c>
      <c r="C427" t="s">
        <v>2157</v>
      </c>
      <c r="D427" t="s">
        <v>399</v>
      </c>
      <c r="E427" t="s">
        <v>24</v>
      </c>
      <c r="F427">
        <v>12.01</v>
      </c>
      <c r="G427" t="s">
        <v>61</v>
      </c>
      <c r="H427">
        <v>77.211399999999998</v>
      </c>
      <c r="I427">
        <v>-2120438.27</v>
      </c>
      <c r="J427" t="s">
        <v>102</v>
      </c>
      <c r="K427">
        <v>-1942111623</v>
      </c>
      <c r="L427" t="s">
        <v>150</v>
      </c>
      <c r="M427" t="s">
        <v>28</v>
      </c>
      <c r="N427" t="s">
        <v>119</v>
      </c>
      <c r="O427" t="s">
        <v>30</v>
      </c>
      <c r="P427" t="s">
        <v>43</v>
      </c>
      <c r="Q427">
        <v>682325</v>
      </c>
      <c r="R427" t="s">
        <v>2158</v>
      </c>
      <c r="S427" t="s">
        <v>1322</v>
      </c>
      <c r="T427">
        <v>2171827644</v>
      </c>
      <c r="U427" t="s">
        <v>34</v>
      </c>
      <c r="V427" t="s">
        <v>2475</v>
      </c>
      <c r="W427" s="1">
        <v>43872</v>
      </c>
    </row>
    <row r="428" spans="1:23" x14ac:dyDescent="0.25">
      <c r="A428" t="s">
        <v>2159</v>
      </c>
      <c r="B428" s="1">
        <v>45697</v>
      </c>
      <c r="C428" t="s">
        <v>2160</v>
      </c>
      <c r="D428" t="s">
        <v>190</v>
      </c>
      <c r="E428" t="s">
        <v>24</v>
      </c>
      <c r="F428">
        <v>122.31</v>
      </c>
      <c r="G428" t="s">
        <v>66</v>
      </c>
      <c r="H428">
        <v>1</v>
      </c>
      <c r="I428">
        <v>-1850203.57</v>
      </c>
      <c r="J428" t="s">
        <v>38</v>
      </c>
      <c r="K428">
        <v>9115111866</v>
      </c>
      <c r="L428" t="s">
        <v>39</v>
      </c>
      <c r="M428" t="s">
        <v>57</v>
      </c>
      <c r="N428" t="s">
        <v>63</v>
      </c>
      <c r="O428" t="s">
        <v>79</v>
      </c>
      <c r="P428" t="s">
        <v>71</v>
      </c>
      <c r="Q428">
        <v>801037</v>
      </c>
      <c r="R428">
        <v>4016000000000000</v>
      </c>
      <c r="S428" t="s">
        <v>560</v>
      </c>
      <c r="T428">
        <v>7589032548</v>
      </c>
      <c r="U428" t="s">
        <v>34</v>
      </c>
      <c r="V428" t="s">
        <v>2477</v>
      </c>
      <c r="W428" s="1">
        <v>45278</v>
      </c>
    </row>
    <row r="429" spans="1:23" x14ac:dyDescent="0.25">
      <c r="A429" t="s">
        <v>2161</v>
      </c>
      <c r="B429" s="1">
        <v>45547</v>
      </c>
      <c r="C429" t="s">
        <v>968</v>
      </c>
      <c r="D429" t="s">
        <v>581</v>
      </c>
      <c r="E429" t="s">
        <v>55</v>
      </c>
      <c r="F429">
        <v>2.31</v>
      </c>
      <c r="G429" t="s">
        <v>61</v>
      </c>
      <c r="H429">
        <v>77.446899999999999</v>
      </c>
      <c r="I429">
        <v>-2622911.7000000002</v>
      </c>
      <c r="J429" t="s">
        <v>26</v>
      </c>
      <c r="K429">
        <v>7465693428</v>
      </c>
      <c r="L429" t="s">
        <v>27</v>
      </c>
      <c r="M429" t="s">
        <v>57</v>
      </c>
      <c r="N429" t="s">
        <v>209</v>
      </c>
      <c r="O429" t="s">
        <v>52</v>
      </c>
      <c r="P429" t="s">
        <v>71</v>
      </c>
      <c r="Q429">
        <v>440792</v>
      </c>
      <c r="R429" t="s">
        <v>2162</v>
      </c>
      <c r="S429" t="s">
        <v>882</v>
      </c>
      <c r="T429">
        <v>7016507216</v>
      </c>
      <c r="U429" t="s">
        <v>34</v>
      </c>
      <c r="V429" t="s">
        <v>2474</v>
      </c>
      <c r="W429" s="1">
        <v>45251</v>
      </c>
    </row>
    <row r="430" spans="1:23" x14ac:dyDescent="0.25">
      <c r="A430" t="s">
        <v>2163</v>
      </c>
      <c r="B430" s="1">
        <v>45597</v>
      </c>
      <c r="C430" t="s">
        <v>2164</v>
      </c>
      <c r="D430" t="s">
        <v>158</v>
      </c>
      <c r="E430" t="s">
        <v>24</v>
      </c>
      <c r="F430">
        <v>28.84</v>
      </c>
      <c r="G430" t="s">
        <v>66</v>
      </c>
      <c r="H430">
        <v>1</v>
      </c>
      <c r="I430">
        <v>-2653483.62</v>
      </c>
      <c r="J430" t="s">
        <v>98</v>
      </c>
      <c r="K430">
        <v>6220065819</v>
      </c>
      <c r="L430" t="s">
        <v>99</v>
      </c>
      <c r="M430" t="s">
        <v>77</v>
      </c>
      <c r="N430" t="s">
        <v>136</v>
      </c>
      <c r="O430" t="s">
        <v>79</v>
      </c>
      <c r="P430" t="s">
        <v>59</v>
      </c>
      <c r="Q430">
        <v>803559</v>
      </c>
      <c r="R430" t="s">
        <v>2165</v>
      </c>
      <c r="S430" t="s">
        <v>1405</v>
      </c>
      <c r="T430">
        <v>-8487780123</v>
      </c>
      <c r="U430" t="s">
        <v>34</v>
      </c>
      <c r="V430" t="s">
        <v>2474</v>
      </c>
      <c r="W430" s="1">
        <v>2021</v>
      </c>
    </row>
    <row r="431" spans="1:23" x14ac:dyDescent="0.25">
      <c r="A431" t="s">
        <v>2167</v>
      </c>
      <c r="B431" s="1">
        <v>45391</v>
      </c>
      <c r="C431" t="s">
        <v>1940</v>
      </c>
      <c r="D431" t="s">
        <v>1051</v>
      </c>
      <c r="E431" t="s">
        <v>73</v>
      </c>
      <c r="F431">
        <v>5.63</v>
      </c>
      <c r="G431" t="s">
        <v>66</v>
      </c>
      <c r="H431">
        <v>1</v>
      </c>
      <c r="I431">
        <v>-2119469.85</v>
      </c>
      <c r="J431" t="s">
        <v>96</v>
      </c>
      <c r="K431">
        <v>4198280261</v>
      </c>
      <c r="L431" t="s">
        <v>97</v>
      </c>
      <c r="M431" t="s">
        <v>68</v>
      </c>
      <c r="N431" t="s">
        <v>114</v>
      </c>
      <c r="O431" t="s">
        <v>100</v>
      </c>
      <c r="P431" t="s">
        <v>31</v>
      </c>
      <c r="Q431">
        <v>816511</v>
      </c>
      <c r="R431" t="s">
        <v>2168</v>
      </c>
      <c r="S431" t="s">
        <v>1697</v>
      </c>
      <c r="T431">
        <v>-9414796048</v>
      </c>
      <c r="U431" t="s">
        <v>34</v>
      </c>
      <c r="V431" t="s">
        <v>2477</v>
      </c>
      <c r="W431" s="1">
        <v>44926</v>
      </c>
    </row>
    <row r="432" spans="1:23" x14ac:dyDescent="0.25">
      <c r="A432" t="s">
        <v>2169</v>
      </c>
      <c r="B432" s="1">
        <v>45566</v>
      </c>
      <c r="C432" t="s">
        <v>2170</v>
      </c>
      <c r="D432" t="s">
        <v>535</v>
      </c>
      <c r="E432" t="s">
        <v>73</v>
      </c>
      <c r="F432">
        <v>38.619999999999997</v>
      </c>
      <c r="G432" t="s">
        <v>66</v>
      </c>
      <c r="H432">
        <v>1</v>
      </c>
      <c r="I432">
        <v>-538147.64</v>
      </c>
      <c r="J432" t="s">
        <v>96</v>
      </c>
      <c r="K432">
        <v>-7605334991</v>
      </c>
      <c r="L432" t="s">
        <v>97</v>
      </c>
      <c r="M432" t="s">
        <v>87</v>
      </c>
      <c r="N432" t="s">
        <v>88</v>
      </c>
      <c r="O432" t="s">
        <v>52</v>
      </c>
      <c r="P432" t="s">
        <v>126</v>
      </c>
      <c r="Q432">
        <v>415737</v>
      </c>
      <c r="R432" t="s">
        <v>2171</v>
      </c>
      <c r="S432" t="s">
        <v>1896</v>
      </c>
      <c r="T432">
        <v>9832622726</v>
      </c>
      <c r="U432" t="s">
        <v>34</v>
      </c>
      <c r="V432" t="s">
        <v>2477</v>
      </c>
      <c r="W432" s="1">
        <v>45814</v>
      </c>
    </row>
    <row r="433" spans="1:23" x14ac:dyDescent="0.25">
      <c r="A433" t="s">
        <v>2173</v>
      </c>
      <c r="B433" s="1">
        <v>45179</v>
      </c>
      <c r="C433" t="s">
        <v>2174</v>
      </c>
      <c r="D433" t="s">
        <v>582</v>
      </c>
      <c r="E433" t="s">
        <v>24</v>
      </c>
      <c r="F433">
        <v>121.28</v>
      </c>
      <c r="G433" t="s">
        <v>61</v>
      </c>
      <c r="H433">
        <v>79.8767</v>
      </c>
      <c r="I433">
        <v>-1602820.45</v>
      </c>
      <c r="J433" t="s">
        <v>128</v>
      </c>
      <c r="K433">
        <v>964558999</v>
      </c>
      <c r="L433" t="s">
        <v>129</v>
      </c>
      <c r="M433" t="s">
        <v>68</v>
      </c>
      <c r="N433" t="s">
        <v>114</v>
      </c>
      <c r="O433" t="s">
        <v>100</v>
      </c>
      <c r="P433" t="s">
        <v>107</v>
      </c>
      <c r="Q433">
        <v>557169</v>
      </c>
      <c r="R433" t="s">
        <v>1126</v>
      </c>
      <c r="S433" t="s">
        <v>1193</v>
      </c>
      <c r="T433">
        <v>9430557829</v>
      </c>
      <c r="U433" t="s">
        <v>34</v>
      </c>
      <c r="V433" t="s">
        <v>2472</v>
      </c>
      <c r="W433" s="1">
        <v>44715</v>
      </c>
    </row>
    <row r="434" spans="1:23" x14ac:dyDescent="0.25">
      <c r="A434" t="s">
        <v>2175</v>
      </c>
      <c r="B434" s="1">
        <v>45845</v>
      </c>
      <c r="C434" t="s">
        <v>2176</v>
      </c>
      <c r="D434" t="s">
        <v>2177</v>
      </c>
      <c r="E434" t="s">
        <v>24</v>
      </c>
      <c r="F434">
        <v>89.23</v>
      </c>
      <c r="G434" t="s">
        <v>61</v>
      </c>
      <c r="H434">
        <v>73.606200000000001</v>
      </c>
      <c r="I434">
        <v>-1412730.48</v>
      </c>
      <c r="J434" t="s">
        <v>62</v>
      </c>
      <c r="K434">
        <v>5085638942</v>
      </c>
      <c r="L434" t="s">
        <v>131</v>
      </c>
      <c r="M434" t="s">
        <v>147</v>
      </c>
      <c r="N434" t="s">
        <v>155</v>
      </c>
      <c r="O434" t="s">
        <v>79</v>
      </c>
      <c r="P434" t="s">
        <v>153</v>
      </c>
      <c r="Q434">
        <v>575186</v>
      </c>
      <c r="R434" t="s">
        <v>1347</v>
      </c>
      <c r="S434" t="s">
        <v>1433</v>
      </c>
      <c r="T434">
        <v>7484489213</v>
      </c>
      <c r="U434" t="s">
        <v>34</v>
      </c>
      <c r="V434" t="s">
        <v>2476</v>
      </c>
      <c r="W434" s="1">
        <v>2019</v>
      </c>
    </row>
    <row r="435" spans="1:23" x14ac:dyDescent="0.25">
      <c r="A435" t="s">
        <v>2178</v>
      </c>
      <c r="B435" s="1">
        <v>45509</v>
      </c>
      <c r="C435" t="s">
        <v>103</v>
      </c>
      <c r="D435" t="s">
        <v>643</v>
      </c>
      <c r="E435" t="s">
        <v>24</v>
      </c>
      <c r="F435">
        <v>11.85</v>
      </c>
      <c r="G435" t="s">
        <v>61</v>
      </c>
      <c r="H435">
        <v>72.4131</v>
      </c>
      <c r="I435">
        <v>-2467894.16</v>
      </c>
      <c r="J435" t="s">
        <v>26</v>
      </c>
      <c r="K435">
        <v>1667576762</v>
      </c>
      <c r="L435" t="s">
        <v>27</v>
      </c>
      <c r="M435" t="s">
        <v>87</v>
      </c>
      <c r="N435" t="s">
        <v>88</v>
      </c>
      <c r="O435" t="s">
        <v>42</v>
      </c>
      <c r="P435" t="s">
        <v>93</v>
      </c>
      <c r="Q435">
        <v>414813</v>
      </c>
      <c r="R435" t="s">
        <v>2179</v>
      </c>
      <c r="S435" t="s">
        <v>962</v>
      </c>
      <c r="T435">
        <v>8457724059</v>
      </c>
      <c r="U435" t="s">
        <v>34</v>
      </c>
      <c r="V435" t="s">
        <v>2473</v>
      </c>
      <c r="W435" s="1">
        <v>43609</v>
      </c>
    </row>
    <row r="436" spans="1:23" x14ac:dyDescent="0.25">
      <c r="A436" t="s">
        <v>2180</v>
      </c>
      <c r="B436" s="1">
        <v>45635</v>
      </c>
      <c r="C436" t="s">
        <v>2181</v>
      </c>
      <c r="D436" t="s">
        <v>400</v>
      </c>
      <c r="E436" t="s">
        <v>24</v>
      </c>
      <c r="F436">
        <v>37.93</v>
      </c>
      <c r="G436" t="s">
        <v>61</v>
      </c>
      <c r="H436">
        <v>74.665400000000005</v>
      </c>
      <c r="I436">
        <v>-2231747.61</v>
      </c>
      <c r="J436" t="s">
        <v>38</v>
      </c>
      <c r="K436">
        <v>1188863602</v>
      </c>
      <c r="L436" t="s">
        <v>39</v>
      </c>
      <c r="M436" t="s">
        <v>57</v>
      </c>
      <c r="N436" t="s">
        <v>63</v>
      </c>
      <c r="O436" t="s">
        <v>70</v>
      </c>
      <c r="P436" t="s">
        <v>31</v>
      </c>
      <c r="Q436">
        <v>823185</v>
      </c>
      <c r="R436" t="s">
        <v>1783</v>
      </c>
      <c r="S436" t="s">
        <v>2182</v>
      </c>
      <c r="T436">
        <v>-7276562088</v>
      </c>
      <c r="U436" t="s">
        <v>34</v>
      </c>
      <c r="V436" t="s">
        <v>2474</v>
      </c>
      <c r="W436" s="1">
        <v>2019</v>
      </c>
    </row>
    <row r="437" spans="1:23" x14ac:dyDescent="0.25">
      <c r="A437" t="s">
        <v>2183</v>
      </c>
      <c r="B437" s="1">
        <v>44997</v>
      </c>
      <c r="C437" t="s">
        <v>2184</v>
      </c>
      <c r="D437" t="s">
        <v>980</v>
      </c>
      <c r="E437" t="s">
        <v>73</v>
      </c>
      <c r="F437">
        <v>76.819999999999993</v>
      </c>
      <c r="G437" t="s">
        <v>61</v>
      </c>
      <c r="H437">
        <v>82.551599999999993</v>
      </c>
      <c r="I437">
        <v>-556514.06999999995</v>
      </c>
      <c r="J437" t="s">
        <v>48</v>
      </c>
      <c r="K437">
        <v>6091595312</v>
      </c>
      <c r="L437" t="s">
        <v>49</v>
      </c>
      <c r="M437" t="s">
        <v>68</v>
      </c>
      <c r="N437" t="s">
        <v>277</v>
      </c>
      <c r="O437" t="s">
        <v>42</v>
      </c>
      <c r="P437" t="s">
        <v>53</v>
      </c>
      <c r="Q437">
        <v>863876</v>
      </c>
      <c r="R437" t="s">
        <v>2185</v>
      </c>
      <c r="S437" t="s">
        <v>1498</v>
      </c>
      <c r="T437">
        <v>8663437916</v>
      </c>
      <c r="U437" t="s">
        <v>34</v>
      </c>
      <c r="V437" t="s">
        <v>2475</v>
      </c>
      <c r="W437" s="1">
        <v>45689</v>
      </c>
    </row>
    <row r="438" spans="1:23" x14ac:dyDescent="0.25">
      <c r="A438" t="s">
        <v>2186</v>
      </c>
      <c r="B438" s="1">
        <v>45780</v>
      </c>
      <c r="C438" t="s">
        <v>2079</v>
      </c>
      <c r="D438" t="s">
        <v>464</v>
      </c>
      <c r="E438" t="s">
        <v>24</v>
      </c>
      <c r="F438">
        <v>13.98</v>
      </c>
      <c r="G438" t="s">
        <v>47</v>
      </c>
      <c r="H438">
        <v>103.9598</v>
      </c>
      <c r="I438">
        <v>-176127.1</v>
      </c>
      <c r="J438" t="s">
        <v>38</v>
      </c>
      <c r="K438">
        <v>-8098778680</v>
      </c>
      <c r="L438" t="s">
        <v>39</v>
      </c>
      <c r="M438" t="s">
        <v>83</v>
      </c>
      <c r="N438" t="s">
        <v>84</v>
      </c>
      <c r="O438" t="s">
        <v>52</v>
      </c>
      <c r="P438" t="s">
        <v>31</v>
      </c>
      <c r="Q438">
        <v>778743</v>
      </c>
      <c r="R438">
        <v>4041730000000000</v>
      </c>
      <c r="S438" t="s">
        <v>1864</v>
      </c>
      <c r="T438">
        <v>1343504146</v>
      </c>
      <c r="U438" t="s">
        <v>34</v>
      </c>
      <c r="V438" t="s">
        <v>2475</v>
      </c>
      <c r="W438" s="1">
        <v>45886</v>
      </c>
    </row>
    <row r="439" spans="1:23" x14ac:dyDescent="0.25">
      <c r="A439" t="s">
        <v>2187</v>
      </c>
      <c r="B439" s="1">
        <v>45450</v>
      </c>
      <c r="C439" t="s">
        <v>2188</v>
      </c>
      <c r="D439" t="s">
        <v>545</v>
      </c>
      <c r="E439" t="s">
        <v>24</v>
      </c>
      <c r="F439">
        <v>39.71</v>
      </c>
      <c r="G439" t="s">
        <v>56</v>
      </c>
      <c r="H439">
        <v>18.579599999999999</v>
      </c>
      <c r="I439">
        <v>-2873348.44</v>
      </c>
      <c r="J439" t="s">
        <v>38</v>
      </c>
      <c r="K439">
        <v>2390442797</v>
      </c>
      <c r="L439" t="s">
        <v>39</v>
      </c>
      <c r="M439" t="s">
        <v>28</v>
      </c>
      <c r="N439" t="s">
        <v>29</v>
      </c>
      <c r="O439" t="s">
        <v>79</v>
      </c>
      <c r="P439" t="s">
        <v>43</v>
      </c>
      <c r="Q439">
        <v>627619</v>
      </c>
      <c r="R439" t="s">
        <v>554</v>
      </c>
      <c r="S439" t="s">
        <v>961</v>
      </c>
      <c r="T439">
        <v>-9844303103</v>
      </c>
      <c r="U439" t="s">
        <v>34</v>
      </c>
      <c r="V439" t="s">
        <v>2475</v>
      </c>
      <c r="W439" s="1">
        <v>45748</v>
      </c>
    </row>
    <row r="440" spans="1:23" x14ac:dyDescent="0.25">
      <c r="A440" t="s">
        <v>2190</v>
      </c>
      <c r="B440" s="1">
        <v>45415</v>
      </c>
      <c r="C440" t="s">
        <v>2191</v>
      </c>
      <c r="D440" t="s">
        <v>581</v>
      </c>
      <c r="E440" t="s">
        <v>24</v>
      </c>
      <c r="F440">
        <v>42.74</v>
      </c>
      <c r="G440" t="s">
        <v>47</v>
      </c>
      <c r="H440">
        <v>91.685400000000001</v>
      </c>
      <c r="I440">
        <v>-1824684.9</v>
      </c>
      <c r="J440" t="s">
        <v>98</v>
      </c>
      <c r="K440">
        <v>2670966107</v>
      </c>
      <c r="L440" t="s">
        <v>99</v>
      </c>
      <c r="M440" t="s">
        <v>83</v>
      </c>
      <c r="N440" t="s">
        <v>84</v>
      </c>
      <c r="O440" t="s">
        <v>52</v>
      </c>
      <c r="P440" t="s">
        <v>93</v>
      </c>
      <c r="Q440">
        <v>911566</v>
      </c>
      <c r="R440" t="s">
        <v>2192</v>
      </c>
      <c r="S440" t="s">
        <v>894</v>
      </c>
      <c r="T440">
        <v>-3083939806</v>
      </c>
      <c r="U440" t="s">
        <v>34</v>
      </c>
      <c r="V440" t="s">
        <v>2477</v>
      </c>
      <c r="W440" s="1">
        <v>2021</v>
      </c>
    </row>
    <row r="441" spans="1:23" x14ac:dyDescent="0.25">
      <c r="A441" t="s">
        <v>2193</v>
      </c>
      <c r="B441" s="1">
        <v>45937</v>
      </c>
      <c r="C441" t="s">
        <v>2194</v>
      </c>
      <c r="D441" t="s">
        <v>460</v>
      </c>
      <c r="E441" t="s">
        <v>24</v>
      </c>
      <c r="F441">
        <v>44.61</v>
      </c>
      <c r="G441" t="s">
        <v>61</v>
      </c>
      <c r="H441">
        <v>77.476600000000005</v>
      </c>
      <c r="I441">
        <v>-279974.38</v>
      </c>
      <c r="J441" t="s">
        <v>116</v>
      </c>
      <c r="K441">
        <v>9745108603</v>
      </c>
      <c r="L441" t="s">
        <v>134</v>
      </c>
      <c r="M441" t="s">
        <v>83</v>
      </c>
      <c r="N441" t="s">
        <v>84</v>
      </c>
      <c r="O441" t="s">
        <v>42</v>
      </c>
      <c r="P441" t="s">
        <v>126</v>
      </c>
      <c r="Q441">
        <v>110645</v>
      </c>
      <c r="R441" t="s">
        <v>2195</v>
      </c>
      <c r="S441" t="s">
        <v>504</v>
      </c>
      <c r="T441">
        <v>3216718663</v>
      </c>
      <c r="U441" t="s">
        <v>34</v>
      </c>
      <c r="V441" t="s">
        <v>2473</v>
      </c>
      <c r="W441" s="1">
        <v>43730</v>
      </c>
    </row>
    <row r="442" spans="1:23" x14ac:dyDescent="0.25">
      <c r="A442" t="s">
        <v>2196</v>
      </c>
      <c r="B442" s="1">
        <v>45539</v>
      </c>
      <c r="C442" t="s">
        <v>2197</v>
      </c>
      <c r="D442" t="s">
        <v>479</v>
      </c>
      <c r="E442" t="s">
        <v>73</v>
      </c>
      <c r="F442">
        <v>148.33000000000001</v>
      </c>
      <c r="G442" t="s">
        <v>61</v>
      </c>
      <c r="H442">
        <v>80.660600000000002</v>
      </c>
      <c r="I442">
        <v>-2121191.62</v>
      </c>
      <c r="J442" t="s">
        <v>128</v>
      </c>
      <c r="K442">
        <v>639284906</v>
      </c>
      <c r="L442" t="s">
        <v>129</v>
      </c>
      <c r="M442" t="s">
        <v>40</v>
      </c>
      <c r="N442" t="s">
        <v>41</v>
      </c>
      <c r="O442" t="s">
        <v>70</v>
      </c>
      <c r="P442" t="s">
        <v>153</v>
      </c>
      <c r="Q442">
        <v>241097</v>
      </c>
      <c r="R442" t="s">
        <v>2198</v>
      </c>
      <c r="S442" t="s">
        <v>481</v>
      </c>
      <c r="T442">
        <v>7142037252</v>
      </c>
      <c r="U442" t="s">
        <v>34</v>
      </c>
      <c r="V442" t="s">
        <v>2476</v>
      </c>
      <c r="W442" s="1">
        <v>42212</v>
      </c>
    </row>
    <row r="443" spans="1:23" x14ac:dyDescent="0.25">
      <c r="A443" t="s">
        <v>2199</v>
      </c>
      <c r="B443" s="1">
        <v>45418</v>
      </c>
      <c r="C443" t="s">
        <v>2042</v>
      </c>
      <c r="D443" t="s">
        <v>700</v>
      </c>
      <c r="E443" t="s">
        <v>24</v>
      </c>
      <c r="F443">
        <v>27.6</v>
      </c>
      <c r="G443" t="s">
        <v>61</v>
      </c>
      <c r="H443">
        <v>81.221699999999998</v>
      </c>
      <c r="I443">
        <v>-2922670.44</v>
      </c>
      <c r="J443" t="s">
        <v>116</v>
      </c>
      <c r="K443">
        <v>5891414075</v>
      </c>
      <c r="L443" t="s">
        <v>134</v>
      </c>
      <c r="M443" t="s">
        <v>57</v>
      </c>
      <c r="N443" t="s">
        <v>58</v>
      </c>
      <c r="O443" t="s">
        <v>52</v>
      </c>
      <c r="P443" t="s">
        <v>153</v>
      </c>
      <c r="Q443">
        <v>781044</v>
      </c>
      <c r="R443" t="s">
        <v>2200</v>
      </c>
      <c r="S443" t="s">
        <v>987</v>
      </c>
      <c r="T443">
        <v>1210511350</v>
      </c>
      <c r="U443" t="s">
        <v>34</v>
      </c>
      <c r="V443" t="s">
        <v>2474</v>
      </c>
      <c r="W443" s="1">
        <v>42095</v>
      </c>
    </row>
    <row r="444" spans="1:23" x14ac:dyDescent="0.25">
      <c r="A444" t="s">
        <v>2201</v>
      </c>
      <c r="B444" s="1">
        <v>45474</v>
      </c>
      <c r="C444" t="s">
        <v>2202</v>
      </c>
      <c r="D444" t="s">
        <v>309</v>
      </c>
      <c r="E444" t="s">
        <v>73</v>
      </c>
      <c r="F444">
        <v>-8.3000000000000007</v>
      </c>
      <c r="G444" t="s">
        <v>47</v>
      </c>
      <c r="H444">
        <v>98.994500000000002</v>
      </c>
      <c r="I444">
        <v>-2582750.83</v>
      </c>
      <c r="J444" t="s">
        <v>91</v>
      </c>
      <c r="K444">
        <v>8161956414</v>
      </c>
      <c r="L444" t="s">
        <v>92</v>
      </c>
      <c r="M444" t="s">
        <v>28</v>
      </c>
      <c r="N444" t="s">
        <v>29</v>
      </c>
      <c r="O444" t="s">
        <v>30</v>
      </c>
      <c r="P444" t="s">
        <v>126</v>
      </c>
      <c r="Q444">
        <v>557164</v>
      </c>
      <c r="R444" t="s">
        <v>2203</v>
      </c>
      <c r="S444" t="s">
        <v>1440</v>
      </c>
      <c r="T444">
        <v>4135679644</v>
      </c>
      <c r="U444" t="s">
        <v>34</v>
      </c>
      <c r="V444" t="s">
        <v>2477</v>
      </c>
      <c r="W444" s="1">
        <v>45313</v>
      </c>
    </row>
    <row r="445" spans="1:23" x14ac:dyDescent="0.25">
      <c r="A445" t="s">
        <v>2204</v>
      </c>
      <c r="B445" s="1">
        <v>45538</v>
      </c>
      <c r="C445" t="s">
        <v>2205</v>
      </c>
      <c r="D445" t="s">
        <v>471</v>
      </c>
      <c r="E445" t="s">
        <v>24</v>
      </c>
      <c r="F445">
        <v>95.39</v>
      </c>
      <c r="G445" t="s">
        <v>61</v>
      </c>
      <c r="H445">
        <v>79.362799999999993</v>
      </c>
      <c r="I445">
        <v>-260260.24</v>
      </c>
      <c r="J445" t="s">
        <v>86</v>
      </c>
      <c r="K445">
        <v>-2079283080</v>
      </c>
      <c r="L445" t="s">
        <v>181</v>
      </c>
      <c r="M445" t="s">
        <v>40</v>
      </c>
      <c r="N445" t="s">
        <v>106</v>
      </c>
      <c r="O445" t="s">
        <v>100</v>
      </c>
      <c r="P445" t="s">
        <v>75</v>
      </c>
      <c r="Q445">
        <v>366326</v>
      </c>
      <c r="R445">
        <v>4180030000000000</v>
      </c>
      <c r="S445" t="s">
        <v>619</v>
      </c>
      <c r="T445">
        <v>5112445658</v>
      </c>
      <c r="U445" t="s">
        <v>34</v>
      </c>
      <c r="V445" t="s">
        <v>2478</v>
      </c>
      <c r="W445" s="1">
        <v>43230</v>
      </c>
    </row>
    <row r="446" spans="1:23" x14ac:dyDescent="0.25">
      <c r="A446" t="s">
        <v>1465</v>
      </c>
      <c r="B446" s="1">
        <v>45539</v>
      </c>
      <c r="C446" t="s">
        <v>1298</v>
      </c>
      <c r="D446" t="s">
        <v>501</v>
      </c>
      <c r="E446" t="s">
        <v>24</v>
      </c>
      <c r="F446">
        <v>2.31</v>
      </c>
      <c r="G446" t="s">
        <v>66</v>
      </c>
      <c r="H446">
        <v>1</v>
      </c>
      <c r="I446">
        <v>-2452266.84</v>
      </c>
      <c r="J446" t="s">
        <v>86</v>
      </c>
      <c r="K446">
        <v>7059824002</v>
      </c>
      <c r="L446" t="s">
        <v>181</v>
      </c>
      <c r="M446" t="s">
        <v>121</v>
      </c>
      <c r="N446" t="s">
        <v>213</v>
      </c>
      <c r="O446" t="s">
        <v>42</v>
      </c>
      <c r="P446" t="s">
        <v>153</v>
      </c>
      <c r="Q446">
        <v>165193</v>
      </c>
      <c r="R446" t="s">
        <v>1466</v>
      </c>
      <c r="S446" t="s">
        <v>502</v>
      </c>
      <c r="T446">
        <v>1045577664</v>
      </c>
      <c r="U446" t="s">
        <v>34</v>
      </c>
      <c r="V446" t="s">
        <v>2474</v>
      </c>
      <c r="W446" s="1">
        <v>45689</v>
      </c>
    </row>
    <row r="447" spans="1:23" x14ac:dyDescent="0.25">
      <c r="A447" t="s">
        <v>2206</v>
      </c>
      <c r="B447" s="1">
        <v>45482</v>
      </c>
      <c r="C447" t="s">
        <v>1091</v>
      </c>
      <c r="D447" t="s">
        <v>2207</v>
      </c>
      <c r="E447" t="s">
        <v>73</v>
      </c>
      <c r="F447">
        <v>31.82</v>
      </c>
      <c r="G447" t="s">
        <v>56</v>
      </c>
      <c r="H447">
        <v>19.278600000000001</v>
      </c>
      <c r="I447">
        <v>-1131884</v>
      </c>
      <c r="J447" t="s">
        <v>86</v>
      </c>
      <c r="K447">
        <v>9459143624</v>
      </c>
      <c r="L447" t="s">
        <v>181</v>
      </c>
      <c r="M447" t="s">
        <v>40</v>
      </c>
      <c r="N447" t="s">
        <v>106</v>
      </c>
      <c r="O447" t="s">
        <v>79</v>
      </c>
      <c r="P447" t="s">
        <v>53</v>
      </c>
      <c r="Q447">
        <v>768818</v>
      </c>
      <c r="R447" t="s">
        <v>2208</v>
      </c>
      <c r="S447" t="s">
        <v>706</v>
      </c>
      <c r="T447">
        <v>1607879169</v>
      </c>
      <c r="U447" t="s">
        <v>34</v>
      </c>
      <c r="V447" t="s">
        <v>2478</v>
      </c>
      <c r="W447" s="1">
        <v>2016</v>
      </c>
    </row>
    <row r="448" spans="1:23" x14ac:dyDescent="0.25">
      <c r="A448" t="s">
        <v>2209</v>
      </c>
      <c r="B448" s="1">
        <v>45117</v>
      </c>
      <c r="C448" t="s">
        <v>2210</v>
      </c>
      <c r="D448" t="s">
        <v>386</v>
      </c>
      <c r="E448" t="s">
        <v>73</v>
      </c>
      <c r="F448">
        <v>33.369999999999997</v>
      </c>
      <c r="G448" t="s">
        <v>56</v>
      </c>
      <c r="H448">
        <v>21.107800000000001</v>
      </c>
      <c r="I448">
        <v>-1162827.51</v>
      </c>
      <c r="J448" t="s">
        <v>96</v>
      </c>
      <c r="K448">
        <v>9342828972</v>
      </c>
      <c r="L448" t="s">
        <v>97</v>
      </c>
      <c r="M448" t="s">
        <v>87</v>
      </c>
      <c r="N448" t="s">
        <v>151</v>
      </c>
      <c r="O448" t="s">
        <v>100</v>
      </c>
      <c r="P448" t="s">
        <v>43</v>
      </c>
      <c r="Q448">
        <v>920223</v>
      </c>
      <c r="R448" t="s">
        <v>2211</v>
      </c>
      <c r="S448" t="s">
        <v>2212</v>
      </c>
      <c r="T448">
        <v>18065266</v>
      </c>
      <c r="U448" t="s">
        <v>34</v>
      </c>
      <c r="V448" t="s">
        <v>2476</v>
      </c>
      <c r="W448" s="1">
        <v>44713</v>
      </c>
    </row>
    <row r="449" spans="1:23" x14ac:dyDescent="0.25">
      <c r="A449" t="s">
        <v>2213</v>
      </c>
      <c r="B449" s="1">
        <v>45269</v>
      </c>
      <c r="C449" t="s">
        <v>2214</v>
      </c>
      <c r="D449" t="s">
        <v>683</v>
      </c>
      <c r="E449" t="s">
        <v>24</v>
      </c>
      <c r="F449">
        <v>61.08</v>
      </c>
      <c r="G449" t="s">
        <v>61</v>
      </c>
      <c r="H449">
        <v>76.660600000000002</v>
      </c>
      <c r="I449">
        <v>-2903957.03</v>
      </c>
      <c r="J449" t="s">
        <v>102</v>
      </c>
      <c r="K449">
        <v>8540357358</v>
      </c>
      <c r="L449" t="s">
        <v>150</v>
      </c>
      <c r="M449" t="s">
        <v>57</v>
      </c>
      <c r="N449" t="s">
        <v>58</v>
      </c>
      <c r="O449" t="s">
        <v>42</v>
      </c>
      <c r="P449" t="s">
        <v>153</v>
      </c>
      <c r="Q449">
        <v>143267</v>
      </c>
      <c r="R449" t="s">
        <v>2127</v>
      </c>
      <c r="S449" t="s">
        <v>2215</v>
      </c>
      <c r="T449">
        <v>3791688735</v>
      </c>
      <c r="U449" t="s">
        <v>34</v>
      </c>
      <c r="V449" t="s">
        <v>2475</v>
      </c>
      <c r="W449" s="1">
        <v>42278</v>
      </c>
    </row>
    <row r="450" spans="1:23" x14ac:dyDescent="0.25">
      <c r="A450" t="s">
        <v>2216</v>
      </c>
      <c r="B450" s="1">
        <v>45542</v>
      </c>
      <c r="C450" t="s">
        <v>2217</v>
      </c>
      <c r="D450" t="s">
        <v>174</v>
      </c>
      <c r="E450" t="s">
        <v>24</v>
      </c>
      <c r="F450">
        <v>38.49</v>
      </c>
      <c r="G450" t="s">
        <v>66</v>
      </c>
      <c r="H450">
        <v>1</v>
      </c>
      <c r="I450">
        <v>-593478.66</v>
      </c>
      <c r="J450" t="s">
        <v>128</v>
      </c>
      <c r="K450">
        <v>8111683447</v>
      </c>
      <c r="L450" t="s">
        <v>129</v>
      </c>
      <c r="M450" t="s">
        <v>77</v>
      </c>
      <c r="N450" t="s">
        <v>78</v>
      </c>
      <c r="O450" t="s">
        <v>30</v>
      </c>
      <c r="P450" t="s">
        <v>59</v>
      </c>
      <c r="Q450">
        <v>271405</v>
      </c>
      <c r="R450" t="s">
        <v>2218</v>
      </c>
      <c r="S450" t="s">
        <v>1813</v>
      </c>
      <c r="T450">
        <v>5835620421</v>
      </c>
      <c r="U450" t="s">
        <v>34</v>
      </c>
      <c r="V450" t="s">
        <v>2477</v>
      </c>
      <c r="W450" s="1">
        <v>2023</v>
      </c>
    </row>
    <row r="451" spans="1:23" x14ac:dyDescent="0.25">
      <c r="A451" t="s">
        <v>2219</v>
      </c>
      <c r="B451" s="1">
        <v>45272</v>
      </c>
      <c r="C451" t="s">
        <v>2172</v>
      </c>
      <c r="D451" t="s">
        <v>358</v>
      </c>
      <c r="E451" t="s">
        <v>24</v>
      </c>
      <c r="F451">
        <v>70.989999999999995</v>
      </c>
      <c r="G451" t="s">
        <v>61</v>
      </c>
      <c r="H451">
        <v>82.049400000000006</v>
      </c>
      <c r="I451">
        <v>-1198279.73</v>
      </c>
      <c r="J451" t="s">
        <v>38</v>
      </c>
      <c r="K451">
        <v>1304007763</v>
      </c>
      <c r="L451" t="s">
        <v>39</v>
      </c>
      <c r="M451" t="s">
        <v>87</v>
      </c>
      <c r="N451" t="s">
        <v>151</v>
      </c>
      <c r="O451" t="s">
        <v>42</v>
      </c>
      <c r="P451" t="s">
        <v>53</v>
      </c>
      <c r="Q451">
        <v>295263</v>
      </c>
      <c r="R451" t="s">
        <v>1023</v>
      </c>
      <c r="S451" t="s">
        <v>555</v>
      </c>
      <c r="T451">
        <v>5719531424</v>
      </c>
      <c r="U451" t="s">
        <v>34</v>
      </c>
      <c r="V451" t="s">
        <v>2477</v>
      </c>
      <c r="W451" s="1">
        <v>2023</v>
      </c>
    </row>
    <row r="452" spans="1:23" x14ac:dyDescent="0.25">
      <c r="A452" t="s">
        <v>2220</v>
      </c>
      <c r="B452" s="1">
        <v>45904</v>
      </c>
      <c r="C452" t="s">
        <v>2221</v>
      </c>
      <c r="D452" t="s">
        <v>284</v>
      </c>
      <c r="E452" t="s">
        <v>55</v>
      </c>
      <c r="F452">
        <v>140.19999999999999</v>
      </c>
      <c r="G452" t="s">
        <v>47</v>
      </c>
      <c r="H452">
        <v>105.89100000000001</v>
      </c>
      <c r="I452">
        <v>-2682149.6</v>
      </c>
      <c r="J452" t="s">
        <v>26</v>
      </c>
      <c r="K452">
        <v>9261671604</v>
      </c>
      <c r="L452" t="s">
        <v>27</v>
      </c>
      <c r="M452" t="s">
        <v>68</v>
      </c>
      <c r="N452" t="s">
        <v>114</v>
      </c>
      <c r="O452" t="s">
        <v>42</v>
      </c>
      <c r="P452" t="s">
        <v>153</v>
      </c>
      <c r="Q452">
        <v>314274</v>
      </c>
      <c r="R452" t="s">
        <v>2222</v>
      </c>
      <c r="S452" t="s">
        <v>1582</v>
      </c>
      <c r="T452">
        <v>8583568693</v>
      </c>
      <c r="U452" t="s">
        <v>34</v>
      </c>
      <c r="V452" t="s">
        <v>2474</v>
      </c>
      <c r="W452" s="1">
        <v>45901</v>
      </c>
    </row>
    <row r="453" spans="1:23" x14ac:dyDescent="0.25">
      <c r="A453" t="s">
        <v>2223</v>
      </c>
      <c r="B453" s="1">
        <v>45933</v>
      </c>
      <c r="C453" t="s">
        <v>2224</v>
      </c>
      <c r="D453" t="s">
        <v>2225</v>
      </c>
      <c r="E453" t="s">
        <v>24</v>
      </c>
      <c r="F453">
        <v>40.909999999999997</v>
      </c>
      <c r="G453" t="s">
        <v>61</v>
      </c>
      <c r="H453">
        <v>79.5501</v>
      </c>
      <c r="I453">
        <v>-2904076.3</v>
      </c>
      <c r="J453" t="s">
        <v>116</v>
      </c>
      <c r="K453">
        <v>-9211253792</v>
      </c>
      <c r="L453" t="s">
        <v>134</v>
      </c>
      <c r="M453" t="s">
        <v>68</v>
      </c>
      <c r="N453" t="s">
        <v>277</v>
      </c>
      <c r="O453" t="s">
        <v>30</v>
      </c>
      <c r="P453" t="s">
        <v>43</v>
      </c>
      <c r="Q453">
        <v>466392</v>
      </c>
      <c r="R453" t="s">
        <v>1655</v>
      </c>
      <c r="S453" t="s">
        <v>2226</v>
      </c>
      <c r="T453">
        <v>2112805461</v>
      </c>
      <c r="U453" t="s">
        <v>34</v>
      </c>
      <c r="V453" t="s">
        <v>2474</v>
      </c>
      <c r="W453" s="1">
        <v>43924</v>
      </c>
    </row>
    <row r="454" spans="1:23" x14ac:dyDescent="0.25">
      <c r="A454" t="s">
        <v>2227</v>
      </c>
      <c r="B454" s="1">
        <v>45748</v>
      </c>
      <c r="C454" t="s">
        <v>2228</v>
      </c>
      <c r="D454" t="s">
        <v>724</v>
      </c>
      <c r="E454" t="s">
        <v>73</v>
      </c>
      <c r="F454">
        <v>24.05</v>
      </c>
      <c r="G454" t="s">
        <v>61</v>
      </c>
      <c r="H454">
        <v>82.376300000000001</v>
      </c>
      <c r="I454">
        <v>-1221652.57</v>
      </c>
      <c r="J454" t="s">
        <v>38</v>
      </c>
      <c r="K454">
        <v>859511226</v>
      </c>
      <c r="L454" t="s">
        <v>39</v>
      </c>
      <c r="M454" t="s">
        <v>147</v>
      </c>
      <c r="N454" t="s">
        <v>155</v>
      </c>
      <c r="O454" t="s">
        <v>52</v>
      </c>
      <c r="P454" t="s">
        <v>59</v>
      </c>
      <c r="Q454">
        <v>962029</v>
      </c>
      <c r="R454" t="s">
        <v>2229</v>
      </c>
      <c r="S454" t="s">
        <v>2039</v>
      </c>
      <c r="T454">
        <v>422716407</v>
      </c>
      <c r="U454" t="s">
        <v>34</v>
      </c>
      <c r="V454" t="s">
        <v>2474</v>
      </c>
      <c r="W454" s="1">
        <v>45706</v>
      </c>
    </row>
    <row r="455" spans="1:23" x14ac:dyDescent="0.25">
      <c r="A455" t="s">
        <v>2230</v>
      </c>
      <c r="B455" s="1">
        <v>45505</v>
      </c>
      <c r="C455" t="s">
        <v>2231</v>
      </c>
      <c r="D455" t="s">
        <v>864</v>
      </c>
      <c r="E455" t="s">
        <v>24</v>
      </c>
      <c r="F455">
        <v>57.73</v>
      </c>
      <c r="G455" t="s">
        <v>61</v>
      </c>
      <c r="H455">
        <v>75.139499999999998</v>
      </c>
      <c r="I455">
        <v>-1561090.08</v>
      </c>
      <c r="J455" t="s">
        <v>96</v>
      </c>
      <c r="K455">
        <v>759072775</v>
      </c>
      <c r="L455" t="s">
        <v>97</v>
      </c>
      <c r="M455" t="s">
        <v>87</v>
      </c>
      <c r="N455" t="s">
        <v>88</v>
      </c>
      <c r="O455" t="s">
        <v>70</v>
      </c>
      <c r="P455" t="s">
        <v>153</v>
      </c>
      <c r="Q455">
        <v>192876</v>
      </c>
      <c r="R455" t="s">
        <v>841</v>
      </c>
      <c r="S455" t="s">
        <v>1635</v>
      </c>
      <c r="T455">
        <v>6007661724</v>
      </c>
      <c r="U455" t="s">
        <v>34</v>
      </c>
      <c r="V455" t="s">
        <v>2477</v>
      </c>
      <c r="W455" s="1">
        <v>2015</v>
      </c>
    </row>
    <row r="456" spans="1:23" x14ac:dyDescent="0.25">
      <c r="A456" t="s">
        <v>2232</v>
      </c>
      <c r="B456" s="1">
        <v>45514</v>
      </c>
      <c r="C456" t="s">
        <v>2233</v>
      </c>
      <c r="D456" t="s">
        <v>380</v>
      </c>
      <c r="E456" t="s">
        <v>24</v>
      </c>
      <c r="F456">
        <v>10.53</v>
      </c>
      <c r="G456" t="s">
        <v>61</v>
      </c>
      <c r="H456">
        <v>73.359300000000005</v>
      </c>
      <c r="I456">
        <v>-1076166.8899999999</v>
      </c>
      <c r="J456" t="s">
        <v>81</v>
      </c>
      <c r="K456">
        <v>7128691298</v>
      </c>
      <c r="L456" t="s">
        <v>82</v>
      </c>
      <c r="M456" t="s">
        <v>77</v>
      </c>
      <c r="N456" t="s">
        <v>78</v>
      </c>
      <c r="O456" t="s">
        <v>70</v>
      </c>
      <c r="P456" t="s">
        <v>153</v>
      </c>
      <c r="Q456">
        <v>609968</v>
      </c>
      <c r="R456" t="s">
        <v>2234</v>
      </c>
      <c r="S456" t="s">
        <v>1947</v>
      </c>
      <c r="T456">
        <v>3623940368</v>
      </c>
      <c r="U456" t="s">
        <v>34</v>
      </c>
      <c r="V456" t="s">
        <v>2476</v>
      </c>
      <c r="W456" s="1">
        <v>43290</v>
      </c>
    </row>
    <row r="457" spans="1:23" x14ac:dyDescent="0.25">
      <c r="A457" t="s">
        <v>2235</v>
      </c>
      <c r="B457" s="1">
        <v>45270</v>
      </c>
      <c r="C457" t="s">
        <v>2236</v>
      </c>
      <c r="D457" t="s">
        <v>387</v>
      </c>
      <c r="E457" t="s">
        <v>55</v>
      </c>
      <c r="F457">
        <v>-64.55</v>
      </c>
      <c r="G457" t="s">
        <v>47</v>
      </c>
      <c r="H457">
        <v>90.190799999999996</v>
      </c>
      <c r="I457">
        <v>-975337.09</v>
      </c>
      <c r="J457" t="s">
        <v>81</v>
      </c>
      <c r="K457">
        <v>1450736296</v>
      </c>
      <c r="L457" t="s">
        <v>82</v>
      </c>
      <c r="M457" t="s">
        <v>121</v>
      </c>
      <c r="N457" t="s">
        <v>213</v>
      </c>
      <c r="O457" t="s">
        <v>30</v>
      </c>
      <c r="P457" t="s">
        <v>43</v>
      </c>
      <c r="Q457">
        <v>836129</v>
      </c>
      <c r="R457" t="s">
        <v>2237</v>
      </c>
      <c r="S457" t="s">
        <v>954</v>
      </c>
      <c r="T457">
        <v>6444277028</v>
      </c>
      <c r="U457" t="s">
        <v>34</v>
      </c>
      <c r="V457" t="s">
        <v>2472</v>
      </c>
      <c r="W457" s="1">
        <v>2017</v>
      </c>
    </row>
    <row r="458" spans="1:23" x14ac:dyDescent="0.25">
      <c r="A458" t="s">
        <v>2238</v>
      </c>
      <c r="B458" s="1">
        <v>45724</v>
      </c>
      <c r="C458" t="s">
        <v>2239</v>
      </c>
      <c r="D458" t="s">
        <v>610</v>
      </c>
      <c r="E458" t="s">
        <v>24</v>
      </c>
      <c r="F458">
        <v>60.76</v>
      </c>
      <c r="G458" t="s">
        <v>61</v>
      </c>
      <c r="H458">
        <v>81.913499999999999</v>
      </c>
      <c r="I458">
        <v>-2933303.14</v>
      </c>
      <c r="J458" t="s">
        <v>62</v>
      </c>
      <c r="K458">
        <v>6481603114</v>
      </c>
      <c r="L458" t="s">
        <v>131</v>
      </c>
      <c r="M458" t="s">
        <v>68</v>
      </c>
      <c r="N458" t="s">
        <v>277</v>
      </c>
      <c r="O458" t="s">
        <v>30</v>
      </c>
      <c r="P458" t="s">
        <v>107</v>
      </c>
      <c r="Q458">
        <v>526883</v>
      </c>
      <c r="R458" t="s">
        <v>2240</v>
      </c>
      <c r="S458" t="s">
        <v>783</v>
      </c>
      <c r="T458">
        <v>5085638942</v>
      </c>
      <c r="U458" t="s">
        <v>34</v>
      </c>
      <c r="V458" t="s">
        <v>2474</v>
      </c>
      <c r="W458" s="1">
        <v>45231</v>
      </c>
    </row>
    <row r="459" spans="1:23" x14ac:dyDescent="0.25">
      <c r="A459" t="s">
        <v>1625</v>
      </c>
      <c r="B459" s="1">
        <v>45998</v>
      </c>
      <c r="C459" t="s">
        <v>1422</v>
      </c>
      <c r="D459" t="s">
        <v>309</v>
      </c>
      <c r="E459" t="s">
        <v>24</v>
      </c>
      <c r="F459">
        <v>12.13</v>
      </c>
      <c r="G459" t="s">
        <v>61</v>
      </c>
      <c r="H459">
        <v>74.653300000000002</v>
      </c>
      <c r="I459">
        <v>-1937191.49</v>
      </c>
      <c r="J459" t="s">
        <v>38</v>
      </c>
      <c r="K459">
        <v>5935105738</v>
      </c>
      <c r="L459" t="s">
        <v>39</v>
      </c>
      <c r="M459" t="s">
        <v>83</v>
      </c>
      <c r="N459" t="s">
        <v>84</v>
      </c>
      <c r="O459" t="s">
        <v>30</v>
      </c>
      <c r="P459" t="s">
        <v>153</v>
      </c>
      <c r="Q459">
        <v>267262</v>
      </c>
      <c r="R459" t="s">
        <v>1626</v>
      </c>
      <c r="S459" t="s">
        <v>1440</v>
      </c>
      <c r="T459">
        <v>-196462847</v>
      </c>
      <c r="U459" t="s">
        <v>34</v>
      </c>
      <c r="V459" t="s">
        <v>2472</v>
      </c>
      <c r="W459" s="1">
        <v>44531</v>
      </c>
    </row>
    <row r="460" spans="1:23" x14ac:dyDescent="0.25">
      <c r="A460" t="s">
        <v>2241</v>
      </c>
      <c r="B460" s="1">
        <v>45507</v>
      </c>
      <c r="C460" t="s">
        <v>2242</v>
      </c>
      <c r="D460" t="s">
        <v>808</v>
      </c>
      <c r="E460" t="s">
        <v>73</v>
      </c>
      <c r="F460">
        <v>84.78</v>
      </c>
      <c r="G460" t="s">
        <v>47</v>
      </c>
      <c r="H460">
        <v>90.115399999999994</v>
      </c>
      <c r="I460">
        <v>-1271305.57</v>
      </c>
      <c r="J460" t="s">
        <v>86</v>
      </c>
      <c r="K460">
        <v>-5551527546</v>
      </c>
      <c r="L460" t="s">
        <v>181</v>
      </c>
      <c r="M460" t="s">
        <v>50</v>
      </c>
      <c r="N460" t="s">
        <v>51</v>
      </c>
      <c r="O460" t="s">
        <v>100</v>
      </c>
      <c r="P460" t="s">
        <v>53</v>
      </c>
      <c r="Q460">
        <v>265093</v>
      </c>
      <c r="R460">
        <v>4481740000000000</v>
      </c>
      <c r="S460" t="s">
        <v>2243</v>
      </c>
      <c r="T460">
        <v>1307065592</v>
      </c>
      <c r="U460" t="s">
        <v>34</v>
      </c>
      <c r="V460" t="s">
        <v>2476</v>
      </c>
      <c r="W460" s="1">
        <v>45551</v>
      </c>
    </row>
    <row r="461" spans="1:23" x14ac:dyDescent="0.25">
      <c r="A461" t="s">
        <v>2244</v>
      </c>
      <c r="B461" s="1">
        <v>45293</v>
      </c>
      <c r="C461" t="s">
        <v>2245</v>
      </c>
      <c r="D461" t="s">
        <v>365</v>
      </c>
      <c r="E461" t="s">
        <v>24</v>
      </c>
      <c r="F461">
        <v>12.99</v>
      </c>
      <c r="G461" t="s">
        <v>56</v>
      </c>
      <c r="H461">
        <v>20.250800000000002</v>
      </c>
      <c r="I461">
        <v>-1931856.98</v>
      </c>
      <c r="J461" t="s">
        <v>67</v>
      </c>
      <c r="K461">
        <v>-3007633270</v>
      </c>
      <c r="L461" t="s">
        <v>178</v>
      </c>
      <c r="M461" t="s">
        <v>87</v>
      </c>
      <c r="N461" t="s">
        <v>151</v>
      </c>
      <c r="O461" t="s">
        <v>30</v>
      </c>
      <c r="P461" t="s">
        <v>107</v>
      </c>
      <c r="Q461">
        <v>984523</v>
      </c>
      <c r="R461" t="s">
        <v>1176</v>
      </c>
      <c r="S461" t="s">
        <v>366</v>
      </c>
      <c r="T461">
        <v>-5955395164</v>
      </c>
      <c r="U461" t="s">
        <v>34</v>
      </c>
      <c r="V461" t="s">
        <v>2473</v>
      </c>
      <c r="W461" s="1">
        <v>44197</v>
      </c>
    </row>
    <row r="462" spans="1:23" x14ac:dyDescent="0.25">
      <c r="A462" t="s">
        <v>2246</v>
      </c>
      <c r="B462" s="1">
        <v>45294</v>
      </c>
      <c r="C462" t="s">
        <v>2247</v>
      </c>
      <c r="D462" t="s">
        <v>632</v>
      </c>
      <c r="E462" t="s">
        <v>73</v>
      </c>
      <c r="F462">
        <v>52.21</v>
      </c>
      <c r="G462" t="s">
        <v>47</v>
      </c>
      <c r="H462">
        <v>98.075100000000006</v>
      </c>
      <c r="I462">
        <v>-2463416.9900000002</v>
      </c>
      <c r="J462" t="s">
        <v>48</v>
      </c>
      <c r="K462">
        <v>5179948749</v>
      </c>
      <c r="L462" t="s">
        <v>49</v>
      </c>
      <c r="M462" t="s">
        <v>40</v>
      </c>
      <c r="N462" t="s">
        <v>41</v>
      </c>
      <c r="O462" t="s">
        <v>70</v>
      </c>
      <c r="P462" t="s">
        <v>126</v>
      </c>
      <c r="Q462">
        <v>850825</v>
      </c>
      <c r="R462" t="s">
        <v>2248</v>
      </c>
      <c r="S462" t="s">
        <v>898</v>
      </c>
      <c r="T462">
        <v>5342321668</v>
      </c>
      <c r="U462" t="s">
        <v>34</v>
      </c>
      <c r="V462" t="s">
        <v>2476</v>
      </c>
      <c r="W462" s="1">
        <v>2025</v>
      </c>
    </row>
    <row r="463" spans="1:23" x14ac:dyDescent="0.25">
      <c r="A463" t="s">
        <v>2249</v>
      </c>
      <c r="B463" s="1">
        <v>45515</v>
      </c>
      <c r="C463" t="s">
        <v>1843</v>
      </c>
      <c r="D463" t="s">
        <v>501</v>
      </c>
      <c r="E463" t="s">
        <v>24</v>
      </c>
      <c r="F463">
        <v>5.32</v>
      </c>
      <c r="G463" t="s">
        <v>66</v>
      </c>
      <c r="H463">
        <v>1</v>
      </c>
      <c r="I463">
        <v>-529946.01</v>
      </c>
      <c r="J463" t="s">
        <v>98</v>
      </c>
      <c r="K463">
        <v>6309671120</v>
      </c>
      <c r="L463" t="s">
        <v>99</v>
      </c>
      <c r="M463" t="s">
        <v>28</v>
      </c>
      <c r="N463" t="s">
        <v>119</v>
      </c>
      <c r="O463" t="s">
        <v>52</v>
      </c>
      <c r="P463" t="s">
        <v>153</v>
      </c>
      <c r="Q463">
        <v>374610</v>
      </c>
      <c r="R463" t="s">
        <v>2250</v>
      </c>
      <c r="S463" t="s">
        <v>1029</v>
      </c>
      <c r="T463">
        <v>555885065</v>
      </c>
      <c r="U463" t="s">
        <v>34</v>
      </c>
      <c r="V463" t="s">
        <v>2483</v>
      </c>
      <c r="W463" s="1">
        <v>45309</v>
      </c>
    </row>
    <row r="464" spans="1:23" x14ac:dyDescent="0.25">
      <c r="A464" t="s">
        <v>2252</v>
      </c>
      <c r="B464" s="1">
        <v>45361</v>
      </c>
      <c r="C464" t="s">
        <v>1818</v>
      </c>
      <c r="D464" t="s">
        <v>445</v>
      </c>
      <c r="E464" t="s">
        <v>73</v>
      </c>
      <c r="F464">
        <v>10</v>
      </c>
      <c r="G464" t="s">
        <v>66</v>
      </c>
      <c r="H464">
        <v>1</v>
      </c>
      <c r="I464">
        <v>-2868192.05</v>
      </c>
      <c r="J464" t="s">
        <v>62</v>
      </c>
      <c r="K464">
        <v>1913108020</v>
      </c>
      <c r="L464" t="s">
        <v>131</v>
      </c>
      <c r="M464" t="s">
        <v>40</v>
      </c>
      <c r="N464" t="s">
        <v>106</v>
      </c>
      <c r="O464" t="s">
        <v>79</v>
      </c>
      <c r="P464" t="s">
        <v>75</v>
      </c>
      <c r="Q464">
        <v>761860</v>
      </c>
      <c r="R464" t="s">
        <v>2253</v>
      </c>
      <c r="S464" t="s">
        <v>872</v>
      </c>
      <c r="T464">
        <v>7457967076</v>
      </c>
      <c r="U464" t="s">
        <v>34</v>
      </c>
      <c r="V464" t="s">
        <v>2474</v>
      </c>
      <c r="W464" s="1">
        <v>2015</v>
      </c>
    </row>
    <row r="465" spans="1:23" x14ac:dyDescent="0.25">
      <c r="A465" t="s">
        <v>2254</v>
      </c>
      <c r="B465" s="1">
        <v>45118</v>
      </c>
      <c r="C465" t="s">
        <v>243</v>
      </c>
      <c r="D465" t="s">
        <v>574</v>
      </c>
      <c r="E465" t="s">
        <v>24</v>
      </c>
      <c r="F465">
        <v>1332.29</v>
      </c>
      <c r="G465" t="s">
        <v>66</v>
      </c>
      <c r="H465">
        <v>1</v>
      </c>
      <c r="I465">
        <v>-260001.14</v>
      </c>
      <c r="J465" t="s">
        <v>91</v>
      </c>
      <c r="K465">
        <v>5487517243</v>
      </c>
      <c r="L465" t="s">
        <v>92</v>
      </c>
      <c r="M465" t="s">
        <v>83</v>
      </c>
      <c r="N465" t="s">
        <v>117</v>
      </c>
      <c r="O465" t="s">
        <v>70</v>
      </c>
      <c r="P465" t="s">
        <v>53</v>
      </c>
      <c r="Q465">
        <v>227422</v>
      </c>
      <c r="R465" t="s">
        <v>2255</v>
      </c>
      <c r="S465" t="s">
        <v>788</v>
      </c>
      <c r="T465">
        <v>5006629945</v>
      </c>
      <c r="U465" t="s">
        <v>34</v>
      </c>
      <c r="V465" t="s">
        <v>2473</v>
      </c>
      <c r="W465" s="1">
        <v>45463</v>
      </c>
    </row>
    <row r="466" spans="1:23" x14ac:dyDescent="0.25">
      <c r="A466" t="s">
        <v>2257</v>
      </c>
      <c r="B466" s="1">
        <v>45576</v>
      </c>
      <c r="C466" t="s">
        <v>1617</v>
      </c>
      <c r="D466" t="s">
        <v>206</v>
      </c>
      <c r="E466" t="s">
        <v>73</v>
      </c>
      <c r="F466">
        <v>113.1</v>
      </c>
      <c r="G466" t="s">
        <v>66</v>
      </c>
      <c r="H466">
        <v>1</v>
      </c>
      <c r="I466">
        <v>-1850559.71</v>
      </c>
      <c r="J466" t="s">
        <v>38</v>
      </c>
      <c r="K466">
        <v>4437583797</v>
      </c>
      <c r="L466" t="s">
        <v>39</v>
      </c>
      <c r="M466" t="s">
        <v>40</v>
      </c>
      <c r="N466" t="s">
        <v>106</v>
      </c>
      <c r="O466" t="s">
        <v>42</v>
      </c>
      <c r="P466" t="s">
        <v>75</v>
      </c>
      <c r="Q466">
        <v>287639</v>
      </c>
      <c r="R466" t="s">
        <v>2258</v>
      </c>
      <c r="S466" t="s">
        <v>207</v>
      </c>
      <c r="T466">
        <v>9135030491</v>
      </c>
      <c r="U466" t="s">
        <v>34</v>
      </c>
      <c r="V466" t="s">
        <v>2477</v>
      </c>
      <c r="W466" s="1">
        <v>42844</v>
      </c>
    </row>
    <row r="467" spans="1:23" x14ac:dyDescent="0.25">
      <c r="A467" t="s">
        <v>2259</v>
      </c>
      <c r="B467" s="1">
        <v>45689</v>
      </c>
      <c r="C467" t="s">
        <v>1227</v>
      </c>
      <c r="D467" t="s">
        <v>76</v>
      </c>
      <c r="E467" t="s">
        <v>24</v>
      </c>
      <c r="F467">
        <v>-31.4</v>
      </c>
      <c r="G467" t="s">
        <v>66</v>
      </c>
      <c r="H467">
        <v>1</v>
      </c>
      <c r="I467">
        <v>-2873919.68</v>
      </c>
      <c r="J467" t="s">
        <v>102</v>
      </c>
      <c r="K467">
        <v>6701062727</v>
      </c>
      <c r="L467" t="s">
        <v>150</v>
      </c>
      <c r="M467" t="s">
        <v>147</v>
      </c>
      <c r="N467" t="s">
        <v>148</v>
      </c>
      <c r="O467" t="s">
        <v>70</v>
      </c>
      <c r="P467" t="s">
        <v>75</v>
      </c>
      <c r="Q467">
        <v>524219</v>
      </c>
      <c r="R467" t="s">
        <v>2260</v>
      </c>
      <c r="S467" t="s">
        <v>317</v>
      </c>
      <c r="T467">
        <v>2411746286</v>
      </c>
      <c r="U467" t="s">
        <v>34</v>
      </c>
      <c r="V467" t="s">
        <v>2473</v>
      </c>
      <c r="W467" s="1">
        <v>44105</v>
      </c>
    </row>
    <row r="468" spans="1:23" x14ac:dyDescent="0.25">
      <c r="A468" t="s">
        <v>2262</v>
      </c>
      <c r="B468" s="1">
        <v>45418</v>
      </c>
      <c r="C468" t="s">
        <v>2263</v>
      </c>
      <c r="D468" t="s">
        <v>251</v>
      </c>
      <c r="E468" t="s">
        <v>24</v>
      </c>
      <c r="F468">
        <v>46.75</v>
      </c>
      <c r="G468" t="s">
        <v>66</v>
      </c>
      <c r="H468">
        <v>1</v>
      </c>
      <c r="I468">
        <v>-1639692.28</v>
      </c>
      <c r="J468" t="s">
        <v>102</v>
      </c>
      <c r="K468">
        <v>69353320</v>
      </c>
      <c r="L468" t="s">
        <v>150</v>
      </c>
      <c r="M468" t="s">
        <v>57</v>
      </c>
      <c r="N468" t="s">
        <v>209</v>
      </c>
      <c r="O468" t="s">
        <v>100</v>
      </c>
      <c r="P468" t="s">
        <v>31</v>
      </c>
      <c r="Q468">
        <v>813787</v>
      </c>
      <c r="R468" t="s">
        <v>2264</v>
      </c>
      <c r="S468" t="s">
        <v>1854</v>
      </c>
      <c r="T468">
        <v>4103163782</v>
      </c>
      <c r="U468" t="s">
        <v>34</v>
      </c>
      <c r="V468" t="s">
        <v>2476</v>
      </c>
      <c r="W468" s="1">
        <v>2021</v>
      </c>
    </row>
    <row r="469" spans="1:23" x14ac:dyDescent="0.25">
      <c r="A469" t="s">
        <v>2265</v>
      </c>
      <c r="B469" s="1">
        <v>45809</v>
      </c>
      <c r="C469" t="s">
        <v>2266</v>
      </c>
      <c r="D469" t="s">
        <v>494</v>
      </c>
      <c r="E469" t="s">
        <v>55</v>
      </c>
      <c r="F469">
        <v>43.76</v>
      </c>
      <c r="G469" t="s">
        <v>66</v>
      </c>
      <c r="H469">
        <v>1</v>
      </c>
      <c r="I469">
        <v>-159541.63</v>
      </c>
      <c r="J469" t="s">
        <v>86</v>
      </c>
      <c r="K469">
        <v>3190799274</v>
      </c>
      <c r="L469" t="s">
        <v>181</v>
      </c>
      <c r="M469" t="s">
        <v>147</v>
      </c>
      <c r="N469" t="s">
        <v>148</v>
      </c>
      <c r="O469" t="s">
        <v>30</v>
      </c>
      <c r="P469" t="s">
        <v>126</v>
      </c>
      <c r="Q469">
        <v>356234</v>
      </c>
      <c r="R469" t="s">
        <v>2267</v>
      </c>
      <c r="S469" t="s">
        <v>754</v>
      </c>
      <c r="T469">
        <v>2571544008</v>
      </c>
      <c r="U469" t="s">
        <v>34</v>
      </c>
      <c r="V469" t="s">
        <v>2472</v>
      </c>
      <c r="W469" s="1">
        <v>43800</v>
      </c>
    </row>
    <row r="470" spans="1:23" x14ac:dyDescent="0.25">
      <c r="A470" t="s">
        <v>2268</v>
      </c>
      <c r="B470" s="1">
        <v>45363</v>
      </c>
      <c r="C470" t="s">
        <v>2269</v>
      </c>
      <c r="D470" t="s">
        <v>380</v>
      </c>
      <c r="E470" t="s">
        <v>24</v>
      </c>
      <c r="F470">
        <v>26.86</v>
      </c>
      <c r="G470" t="s">
        <v>66</v>
      </c>
      <c r="H470">
        <v>1</v>
      </c>
      <c r="I470">
        <v>-1412660.65</v>
      </c>
      <c r="J470" t="s">
        <v>91</v>
      </c>
      <c r="K470">
        <v>-9916980610</v>
      </c>
      <c r="L470" t="s">
        <v>92</v>
      </c>
      <c r="M470" t="s">
        <v>40</v>
      </c>
      <c r="N470" t="s">
        <v>41</v>
      </c>
      <c r="O470" t="s">
        <v>30</v>
      </c>
      <c r="P470" t="s">
        <v>153</v>
      </c>
      <c r="Q470">
        <v>469578</v>
      </c>
      <c r="R470">
        <v>4532410000000000</v>
      </c>
      <c r="S470" t="s">
        <v>705</v>
      </c>
      <c r="T470">
        <v>-4903245750</v>
      </c>
      <c r="U470" t="s">
        <v>34</v>
      </c>
      <c r="V470" t="s">
        <v>2476</v>
      </c>
      <c r="W470" s="1">
        <v>44238</v>
      </c>
    </row>
    <row r="471" spans="1:23" x14ac:dyDescent="0.25">
      <c r="A471" t="s">
        <v>2270</v>
      </c>
      <c r="B471" s="1">
        <v>45422</v>
      </c>
      <c r="C471" t="s">
        <v>2271</v>
      </c>
      <c r="D471" t="s">
        <v>60</v>
      </c>
      <c r="E471" t="s">
        <v>73</v>
      </c>
      <c r="F471">
        <v>28.49</v>
      </c>
      <c r="G471" t="s">
        <v>56</v>
      </c>
      <c r="H471">
        <v>18.729299999999999</v>
      </c>
      <c r="I471">
        <v>-1500868.05</v>
      </c>
      <c r="J471" t="s">
        <v>67</v>
      </c>
      <c r="K471">
        <v>3990150324</v>
      </c>
      <c r="L471" t="s">
        <v>178</v>
      </c>
      <c r="M471" t="s">
        <v>50</v>
      </c>
      <c r="N471" t="s">
        <v>111</v>
      </c>
      <c r="O471" t="s">
        <v>79</v>
      </c>
      <c r="P471" t="s">
        <v>153</v>
      </c>
      <c r="Q471">
        <v>897524</v>
      </c>
      <c r="R471" t="s">
        <v>2272</v>
      </c>
      <c r="S471" t="s">
        <v>64</v>
      </c>
      <c r="T471">
        <v>2970352547</v>
      </c>
      <c r="U471" t="s">
        <v>34</v>
      </c>
      <c r="V471" t="s">
        <v>2474</v>
      </c>
      <c r="W471" s="1">
        <v>2017</v>
      </c>
    </row>
    <row r="472" spans="1:23" x14ac:dyDescent="0.25">
      <c r="A472" t="s">
        <v>2273</v>
      </c>
      <c r="B472" s="1">
        <v>45421</v>
      </c>
      <c r="C472" t="s">
        <v>1827</v>
      </c>
      <c r="D472" t="s">
        <v>657</v>
      </c>
      <c r="E472" t="s">
        <v>24</v>
      </c>
      <c r="F472">
        <v>6.04</v>
      </c>
      <c r="G472" t="s">
        <v>61</v>
      </c>
      <c r="H472">
        <v>75.029899999999998</v>
      </c>
      <c r="I472">
        <v>-986129.25</v>
      </c>
      <c r="J472" t="s">
        <v>96</v>
      </c>
      <c r="K472">
        <v>8944175891</v>
      </c>
      <c r="L472" t="s">
        <v>97</v>
      </c>
      <c r="M472" t="s">
        <v>121</v>
      </c>
      <c r="N472" t="s">
        <v>122</v>
      </c>
      <c r="O472" t="s">
        <v>79</v>
      </c>
      <c r="P472" t="s">
        <v>153</v>
      </c>
      <c r="Q472">
        <v>513604</v>
      </c>
      <c r="R472" t="s">
        <v>2274</v>
      </c>
      <c r="S472" t="s">
        <v>658</v>
      </c>
      <c r="T472">
        <v>345285090</v>
      </c>
      <c r="U472" t="s">
        <v>34</v>
      </c>
      <c r="V472" t="s">
        <v>2474</v>
      </c>
      <c r="W472" s="1">
        <v>44267</v>
      </c>
    </row>
    <row r="473" spans="1:23" x14ac:dyDescent="0.25">
      <c r="A473" t="s">
        <v>2275</v>
      </c>
      <c r="B473" s="1">
        <v>45087</v>
      </c>
      <c r="C473" t="s">
        <v>2276</v>
      </c>
      <c r="D473" t="s">
        <v>808</v>
      </c>
      <c r="E473" t="s">
        <v>24</v>
      </c>
      <c r="F473">
        <v>9.19</v>
      </c>
      <c r="G473" t="s">
        <v>56</v>
      </c>
      <c r="H473">
        <v>19.2073</v>
      </c>
      <c r="I473">
        <v>-1143071.25</v>
      </c>
      <c r="J473" t="s">
        <v>38</v>
      </c>
      <c r="K473">
        <v>7720097166</v>
      </c>
      <c r="L473" t="s">
        <v>39</v>
      </c>
      <c r="M473" t="s">
        <v>68</v>
      </c>
      <c r="N473" t="s">
        <v>69</v>
      </c>
      <c r="O473" t="s">
        <v>100</v>
      </c>
      <c r="P473" t="s">
        <v>43</v>
      </c>
      <c r="Q473">
        <v>137306</v>
      </c>
      <c r="R473" t="s">
        <v>2277</v>
      </c>
      <c r="S473" t="s">
        <v>1610</v>
      </c>
      <c r="T473">
        <v>385267070</v>
      </c>
      <c r="U473" t="s">
        <v>34</v>
      </c>
      <c r="V473" t="s">
        <v>2477</v>
      </c>
      <c r="W473" s="1">
        <v>42557</v>
      </c>
    </row>
    <row r="474" spans="1:23" x14ac:dyDescent="0.25">
      <c r="A474" t="s">
        <v>2278</v>
      </c>
      <c r="B474" s="1">
        <v>45635</v>
      </c>
      <c r="C474" t="s">
        <v>2279</v>
      </c>
      <c r="D474" t="s">
        <v>308</v>
      </c>
      <c r="E474" t="s">
        <v>73</v>
      </c>
      <c r="F474">
        <v>45.46</v>
      </c>
      <c r="G474" t="s">
        <v>56</v>
      </c>
      <c r="H474">
        <v>20.889199999999999</v>
      </c>
      <c r="I474">
        <v>-1641861.18</v>
      </c>
      <c r="J474" t="s">
        <v>102</v>
      </c>
      <c r="K474">
        <v>6980668773</v>
      </c>
      <c r="L474" t="s">
        <v>150</v>
      </c>
      <c r="M474" t="s">
        <v>68</v>
      </c>
      <c r="N474" t="s">
        <v>277</v>
      </c>
      <c r="O474" t="s">
        <v>79</v>
      </c>
      <c r="P474" t="s">
        <v>93</v>
      </c>
      <c r="Q474">
        <v>961998</v>
      </c>
      <c r="R474" t="s">
        <v>2280</v>
      </c>
      <c r="S474" t="s">
        <v>757</v>
      </c>
      <c r="T474">
        <v>-3284319117</v>
      </c>
      <c r="U474" t="s">
        <v>34</v>
      </c>
      <c r="V474" t="s">
        <v>2473</v>
      </c>
      <c r="W474" s="1">
        <v>2018</v>
      </c>
    </row>
    <row r="475" spans="1:23" x14ac:dyDescent="0.25">
      <c r="A475" t="s">
        <v>2281</v>
      </c>
      <c r="B475" s="1">
        <v>45782</v>
      </c>
      <c r="C475" t="s">
        <v>691</v>
      </c>
      <c r="D475" t="s">
        <v>612</v>
      </c>
      <c r="E475" t="s">
        <v>55</v>
      </c>
      <c r="F475">
        <v>9.48</v>
      </c>
      <c r="G475" t="s">
        <v>66</v>
      </c>
      <c r="H475">
        <v>1</v>
      </c>
      <c r="I475">
        <v>-2902143.07</v>
      </c>
      <c r="J475" t="s">
        <v>67</v>
      </c>
      <c r="K475">
        <v>5294626380</v>
      </c>
      <c r="L475" t="s">
        <v>178</v>
      </c>
      <c r="M475" t="s">
        <v>50</v>
      </c>
      <c r="N475" t="s">
        <v>51</v>
      </c>
      <c r="O475" t="s">
        <v>52</v>
      </c>
      <c r="P475" t="s">
        <v>126</v>
      </c>
      <c r="Q475">
        <v>137</v>
      </c>
      <c r="R475" t="s">
        <v>2282</v>
      </c>
      <c r="S475" t="s">
        <v>613</v>
      </c>
      <c r="T475">
        <v>6475950395</v>
      </c>
      <c r="U475" t="s">
        <v>34</v>
      </c>
      <c r="V475" t="s">
        <v>2477</v>
      </c>
      <c r="W475" s="1">
        <v>45483</v>
      </c>
    </row>
    <row r="476" spans="1:23" x14ac:dyDescent="0.25">
      <c r="A476" t="s">
        <v>2283</v>
      </c>
      <c r="B476" s="1">
        <v>45479</v>
      </c>
      <c r="C476" t="s">
        <v>1906</v>
      </c>
      <c r="D476" t="s">
        <v>255</v>
      </c>
      <c r="E476" t="s">
        <v>24</v>
      </c>
      <c r="F476">
        <v>261.54000000000002</v>
      </c>
      <c r="G476" t="s">
        <v>47</v>
      </c>
      <c r="H476">
        <v>93.837500000000006</v>
      </c>
      <c r="I476">
        <v>-2901601.04</v>
      </c>
      <c r="J476" t="s">
        <v>102</v>
      </c>
      <c r="K476">
        <v>-3145028308</v>
      </c>
      <c r="L476" t="s">
        <v>150</v>
      </c>
      <c r="M476" t="s">
        <v>68</v>
      </c>
      <c r="N476" t="s">
        <v>114</v>
      </c>
      <c r="O476" t="s">
        <v>70</v>
      </c>
      <c r="P476" t="s">
        <v>31</v>
      </c>
      <c r="Q476">
        <v>890193</v>
      </c>
      <c r="R476" t="s">
        <v>2284</v>
      </c>
      <c r="S476" t="s">
        <v>257</v>
      </c>
      <c r="T476">
        <v>8370182336</v>
      </c>
      <c r="U476" t="s">
        <v>34</v>
      </c>
      <c r="V476" t="s">
        <v>2477</v>
      </c>
      <c r="W476" s="1">
        <v>42398</v>
      </c>
    </row>
    <row r="477" spans="1:23" x14ac:dyDescent="0.25">
      <c r="A477" t="s">
        <v>2285</v>
      </c>
      <c r="B477" s="1">
        <v>45875</v>
      </c>
      <c r="C477" t="s">
        <v>2286</v>
      </c>
      <c r="D477" t="s">
        <v>315</v>
      </c>
      <c r="E477" t="s">
        <v>24</v>
      </c>
      <c r="F477">
        <v>505.14</v>
      </c>
      <c r="G477" t="s">
        <v>61</v>
      </c>
      <c r="H477">
        <v>77.019599999999997</v>
      </c>
      <c r="I477">
        <v>-279931.48</v>
      </c>
      <c r="J477" t="s">
        <v>98</v>
      </c>
      <c r="K477">
        <v>8104134474</v>
      </c>
      <c r="L477" t="s">
        <v>99</v>
      </c>
      <c r="M477" t="s">
        <v>57</v>
      </c>
      <c r="N477" t="s">
        <v>58</v>
      </c>
      <c r="O477" t="s">
        <v>42</v>
      </c>
      <c r="P477" t="s">
        <v>71</v>
      </c>
      <c r="Q477">
        <v>951126</v>
      </c>
      <c r="R477" t="s">
        <v>511</v>
      </c>
      <c r="S477" t="s">
        <v>904</v>
      </c>
      <c r="T477">
        <v>-3067013124</v>
      </c>
      <c r="U477" t="s">
        <v>34</v>
      </c>
      <c r="V477" t="s">
        <v>2476</v>
      </c>
      <c r="W477" s="1">
        <v>43983</v>
      </c>
    </row>
    <row r="478" spans="1:23" x14ac:dyDescent="0.25">
      <c r="A478" t="s">
        <v>2287</v>
      </c>
      <c r="B478" s="1">
        <v>45997</v>
      </c>
      <c r="C478" t="s">
        <v>2288</v>
      </c>
      <c r="D478" t="s">
        <v>198</v>
      </c>
      <c r="E478" t="s">
        <v>55</v>
      </c>
      <c r="F478">
        <v>24.29</v>
      </c>
      <c r="G478" t="s">
        <v>61</v>
      </c>
      <c r="H478">
        <v>73.107600000000005</v>
      </c>
      <c r="I478">
        <v>-2903926.49</v>
      </c>
      <c r="J478" t="s">
        <v>62</v>
      </c>
      <c r="K478">
        <v>-715796621</v>
      </c>
      <c r="L478" t="s">
        <v>131</v>
      </c>
      <c r="M478" t="s">
        <v>28</v>
      </c>
      <c r="N478" t="s">
        <v>119</v>
      </c>
      <c r="O478" t="s">
        <v>70</v>
      </c>
      <c r="P478" t="s">
        <v>43</v>
      </c>
      <c r="Q478">
        <v>682904</v>
      </c>
      <c r="R478" t="s">
        <v>2289</v>
      </c>
      <c r="S478" t="s">
        <v>199</v>
      </c>
      <c r="T478">
        <v>-794093139</v>
      </c>
      <c r="U478" t="s">
        <v>34</v>
      </c>
      <c r="V478" t="s">
        <v>2474</v>
      </c>
      <c r="W478" s="1">
        <v>43466</v>
      </c>
    </row>
    <row r="479" spans="1:23" x14ac:dyDescent="0.25">
      <c r="A479" t="s">
        <v>2290</v>
      </c>
      <c r="B479" s="1">
        <v>45572</v>
      </c>
      <c r="C479" t="s">
        <v>2291</v>
      </c>
      <c r="D479" t="s">
        <v>262</v>
      </c>
      <c r="E479" t="s">
        <v>24</v>
      </c>
      <c r="F479">
        <v>7.07</v>
      </c>
      <c r="G479" t="s">
        <v>61</v>
      </c>
      <c r="H479">
        <v>72.237899999999996</v>
      </c>
      <c r="I479">
        <v>-1642411.74</v>
      </c>
      <c r="J479" t="s">
        <v>62</v>
      </c>
      <c r="K479">
        <v>-1357783218</v>
      </c>
      <c r="L479" t="s">
        <v>131</v>
      </c>
      <c r="M479" t="s">
        <v>50</v>
      </c>
      <c r="N479" t="s">
        <v>51</v>
      </c>
      <c r="O479" t="s">
        <v>100</v>
      </c>
      <c r="P479" t="s">
        <v>153</v>
      </c>
      <c r="Q479">
        <v>694962</v>
      </c>
      <c r="R479" t="s">
        <v>1812</v>
      </c>
      <c r="S479" t="s">
        <v>672</v>
      </c>
      <c r="T479">
        <v>6974101950</v>
      </c>
      <c r="U479" t="s">
        <v>34</v>
      </c>
      <c r="V479" t="s">
        <v>2474</v>
      </c>
      <c r="W479" s="1">
        <v>44663</v>
      </c>
    </row>
    <row r="480" spans="1:23" x14ac:dyDescent="0.25">
      <c r="A480" t="s">
        <v>2292</v>
      </c>
      <c r="B480" s="1">
        <v>45511</v>
      </c>
      <c r="C480" t="s">
        <v>447</v>
      </c>
      <c r="D480" t="s">
        <v>130</v>
      </c>
      <c r="E480" t="s">
        <v>24</v>
      </c>
      <c r="F480">
        <v>15.33</v>
      </c>
      <c r="G480" t="s">
        <v>61</v>
      </c>
      <c r="H480">
        <v>80.382800000000003</v>
      </c>
      <c r="I480">
        <v>-2467766.08</v>
      </c>
      <c r="J480" t="s">
        <v>91</v>
      </c>
      <c r="K480">
        <v>2827194502</v>
      </c>
      <c r="L480" t="s">
        <v>92</v>
      </c>
      <c r="M480" t="s">
        <v>147</v>
      </c>
      <c r="N480" t="s">
        <v>148</v>
      </c>
      <c r="O480" t="s">
        <v>30</v>
      </c>
      <c r="P480" t="s">
        <v>75</v>
      </c>
      <c r="Q480">
        <v>924511</v>
      </c>
      <c r="R480" t="s">
        <v>1481</v>
      </c>
      <c r="S480" t="s">
        <v>132</v>
      </c>
      <c r="T480">
        <v>3350479112</v>
      </c>
      <c r="U480" t="s">
        <v>34</v>
      </c>
      <c r="V480" t="s">
        <v>2473</v>
      </c>
      <c r="W480" s="1">
        <v>44966</v>
      </c>
    </row>
    <row r="481" spans="1:23" x14ac:dyDescent="0.25">
      <c r="A481" t="s">
        <v>2293</v>
      </c>
      <c r="B481" s="1">
        <v>45749</v>
      </c>
      <c r="C481" t="s">
        <v>910</v>
      </c>
      <c r="D481" t="s">
        <v>186</v>
      </c>
      <c r="E481" t="s">
        <v>24</v>
      </c>
      <c r="F481">
        <v>173.49</v>
      </c>
      <c r="G481" t="s">
        <v>56</v>
      </c>
      <c r="H481">
        <v>21.456900000000001</v>
      </c>
      <c r="I481">
        <v>-542657.94999999995</v>
      </c>
      <c r="J481" t="s">
        <v>98</v>
      </c>
      <c r="K481">
        <v>89466244</v>
      </c>
      <c r="L481" t="s">
        <v>99</v>
      </c>
      <c r="M481" t="s">
        <v>87</v>
      </c>
      <c r="N481" t="s">
        <v>151</v>
      </c>
      <c r="O481" t="s">
        <v>52</v>
      </c>
      <c r="P481" t="s">
        <v>59</v>
      </c>
      <c r="Q481">
        <v>481838</v>
      </c>
      <c r="R481" t="s">
        <v>2294</v>
      </c>
      <c r="S481" t="s">
        <v>187</v>
      </c>
      <c r="T481">
        <v>-615613341</v>
      </c>
      <c r="U481" t="s">
        <v>34</v>
      </c>
      <c r="V481" t="s">
        <v>2473</v>
      </c>
      <c r="W481" s="1">
        <v>44713</v>
      </c>
    </row>
    <row r="482" spans="1:23" x14ac:dyDescent="0.25">
      <c r="A482" t="s">
        <v>2295</v>
      </c>
      <c r="B482" s="1">
        <v>45840</v>
      </c>
      <c r="C482" t="s">
        <v>2296</v>
      </c>
      <c r="D482" t="s">
        <v>193</v>
      </c>
      <c r="E482" t="s">
        <v>73</v>
      </c>
      <c r="F482">
        <v>95.99</v>
      </c>
      <c r="G482" t="s">
        <v>750</v>
      </c>
      <c r="H482">
        <v>20.5517</v>
      </c>
      <c r="I482">
        <v>-1270656.22</v>
      </c>
      <c r="J482" t="s">
        <v>91</v>
      </c>
      <c r="K482">
        <v>2600424672</v>
      </c>
      <c r="L482" t="s">
        <v>92</v>
      </c>
      <c r="M482" t="s">
        <v>50</v>
      </c>
      <c r="N482" t="s">
        <v>51</v>
      </c>
      <c r="O482" t="s">
        <v>42</v>
      </c>
      <c r="P482" t="s">
        <v>153</v>
      </c>
      <c r="Q482">
        <v>346275</v>
      </c>
      <c r="R482" t="s">
        <v>2297</v>
      </c>
      <c r="S482" t="s">
        <v>1009</v>
      </c>
      <c r="T482">
        <v>9793906545</v>
      </c>
      <c r="U482" t="s">
        <v>34</v>
      </c>
      <c r="V482" t="s">
        <v>2477</v>
      </c>
      <c r="W482" s="1">
        <v>2021</v>
      </c>
    </row>
    <row r="483" spans="1:23" x14ac:dyDescent="0.25">
      <c r="A483" t="s">
        <v>2298</v>
      </c>
      <c r="B483" s="1">
        <v>45416</v>
      </c>
      <c r="C483" t="s">
        <v>2299</v>
      </c>
      <c r="D483" t="s">
        <v>110</v>
      </c>
      <c r="E483" t="s">
        <v>73</v>
      </c>
      <c r="F483">
        <v>17.09</v>
      </c>
      <c r="G483" t="s">
        <v>61</v>
      </c>
      <c r="H483">
        <v>76.086100000000002</v>
      </c>
      <c r="I483">
        <v>-987295.46</v>
      </c>
      <c r="J483" t="s">
        <v>128</v>
      </c>
      <c r="K483">
        <v>8638476492</v>
      </c>
      <c r="L483" t="s">
        <v>129</v>
      </c>
      <c r="M483" t="s">
        <v>121</v>
      </c>
      <c r="N483" t="s">
        <v>213</v>
      </c>
      <c r="O483" t="s">
        <v>42</v>
      </c>
      <c r="P483" t="s">
        <v>126</v>
      </c>
      <c r="Q483">
        <v>534596</v>
      </c>
      <c r="R483" t="s">
        <v>2300</v>
      </c>
      <c r="S483" t="s">
        <v>587</v>
      </c>
      <c r="T483">
        <v>1630992421</v>
      </c>
      <c r="U483" t="s">
        <v>34</v>
      </c>
      <c r="V483" t="s">
        <v>2474</v>
      </c>
      <c r="W483" s="1">
        <v>2022</v>
      </c>
    </row>
    <row r="484" spans="1:23" x14ac:dyDescent="0.25">
      <c r="A484" t="s">
        <v>2301</v>
      </c>
      <c r="B484" s="1">
        <v>45483</v>
      </c>
      <c r="C484" t="s">
        <v>2302</v>
      </c>
      <c r="D484" t="s">
        <v>255</v>
      </c>
      <c r="E484" t="s">
        <v>73</v>
      </c>
      <c r="F484">
        <v>45.28</v>
      </c>
      <c r="G484" t="s">
        <v>61</v>
      </c>
      <c r="H484">
        <v>78.813900000000004</v>
      </c>
      <c r="I484">
        <v>-542744.98</v>
      </c>
      <c r="J484" t="s">
        <v>116</v>
      </c>
      <c r="K484">
        <v>8661848634</v>
      </c>
      <c r="L484" t="s">
        <v>134</v>
      </c>
      <c r="M484" t="s">
        <v>121</v>
      </c>
      <c r="N484" t="s">
        <v>122</v>
      </c>
      <c r="O484" t="s">
        <v>70</v>
      </c>
      <c r="P484" t="s">
        <v>126</v>
      </c>
      <c r="Q484">
        <v>664605</v>
      </c>
      <c r="R484" t="s">
        <v>2303</v>
      </c>
      <c r="S484" t="s">
        <v>1217</v>
      </c>
      <c r="T484">
        <v>7262321953</v>
      </c>
      <c r="U484" t="s">
        <v>34</v>
      </c>
      <c r="V484" t="s">
        <v>2476</v>
      </c>
      <c r="W484" s="1">
        <v>2024</v>
      </c>
    </row>
    <row r="485" spans="1:23" x14ac:dyDescent="0.25">
      <c r="A485" t="s">
        <v>2304</v>
      </c>
      <c r="B485" s="1">
        <v>45455</v>
      </c>
      <c r="C485" t="s">
        <v>822</v>
      </c>
      <c r="D485" t="s">
        <v>432</v>
      </c>
      <c r="E485" t="s">
        <v>24</v>
      </c>
      <c r="F485">
        <v>27.76</v>
      </c>
      <c r="G485" t="s">
        <v>61</v>
      </c>
      <c r="H485">
        <v>72.739599999999996</v>
      </c>
      <c r="I485">
        <v>-175976.1</v>
      </c>
      <c r="J485" t="s">
        <v>81</v>
      </c>
      <c r="K485">
        <v>8345440986</v>
      </c>
      <c r="L485" t="s">
        <v>82</v>
      </c>
      <c r="M485" t="s">
        <v>50</v>
      </c>
      <c r="N485" t="s">
        <v>51</v>
      </c>
      <c r="O485" t="s">
        <v>70</v>
      </c>
      <c r="P485" t="s">
        <v>43</v>
      </c>
      <c r="Q485">
        <v>442871</v>
      </c>
      <c r="R485">
        <v>4094730000000000</v>
      </c>
      <c r="S485" t="s">
        <v>1036</v>
      </c>
      <c r="T485">
        <v>6989162334</v>
      </c>
      <c r="U485" t="s">
        <v>34</v>
      </c>
      <c r="V485" t="s">
        <v>2474</v>
      </c>
      <c r="W485" s="1">
        <v>43291</v>
      </c>
    </row>
    <row r="486" spans="1:23" x14ac:dyDescent="0.25">
      <c r="A486" t="s">
        <v>2305</v>
      </c>
      <c r="B486" s="1">
        <v>45119</v>
      </c>
      <c r="C486" t="s">
        <v>398</v>
      </c>
      <c r="D486" t="s">
        <v>469</v>
      </c>
      <c r="E486" t="s">
        <v>24</v>
      </c>
      <c r="F486">
        <v>-51.83</v>
      </c>
      <c r="G486" t="s">
        <v>47</v>
      </c>
      <c r="H486">
        <v>96.074399999999997</v>
      </c>
      <c r="I486">
        <v>-1935739.59</v>
      </c>
      <c r="J486" t="s">
        <v>102</v>
      </c>
      <c r="K486">
        <v>959023057</v>
      </c>
      <c r="L486" t="s">
        <v>150</v>
      </c>
      <c r="M486" t="s">
        <v>57</v>
      </c>
      <c r="N486" t="s">
        <v>63</v>
      </c>
      <c r="O486" t="s">
        <v>70</v>
      </c>
      <c r="P486" t="s">
        <v>43</v>
      </c>
      <c r="Q486">
        <v>178544</v>
      </c>
      <c r="R486" t="s">
        <v>2306</v>
      </c>
      <c r="S486" t="s">
        <v>871</v>
      </c>
      <c r="T486">
        <v>-5432164380</v>
      </c>
      <c r="U486" t="s">
        <v>34</v>
      </c>
      <c r="V486" t="s">
        <v>2476</v>
      </c>
      <c r="W486" s="1">
        <v>43132</v>
      </c>
    </row>
    <row r="487" spans="1:23" x14ac:dyDescent="0.25">
      <c r="A487" t="s">
        <v>2307</v>
      </c>
      <c r="B487" s="1">
        <v>45994</v>
      </c>
      <c r="C487" t="s">
        <v>2308</v>
      </c>
      <c r="D487" t="s">
        <v>446</v>
      </c>
      <c r="E487" t="s">
        <v>73</v>
      </c>
      <c r="F487">
        <v>17.54</v>
      </c>
      <c r="G487" t="s">
        <v>61</v>
      </c>
      <c r="H487">
        <v>77.693899999999999</v>
      </c>
      <c r="I487">
        <v>-144849.69</v>
      </c>
      <c r="J487" t="s">
        <v>98</v>
      </c>
      <c r="K487">
        <v>6701062727</v>
      </c>
      <c r="L487" t="s">
        <v>99</v>
      </c>
      <c r="M487" t="s">
        <v>50</v>
      </c>
      <c r="N487" t="s">
        <v>51</v>
      </c>
      <c r="O487" t="s">
        <v>70</v>
      </c>
      <c r="P487" t="s">
        <v>93</v>
      </c>
      <c r="Q487">
        <v>411798</v>
      </c>
      <c r="R487" t="s">
        <v>2309</v>
      </c>
      <c r="S487" t="s">
        <v>1299</v>
      </c>
      <c r="T487">
        <v>7276317370</v>
      </c>
      <c r="U487" t="s">
        <v>34</v>
      </c>
      <c r="V487" t="s">
        <v>2472</v>
      </c>
      <c r="W487" s="1">
        <v>44456</v>
      </c>
    </row>
    <row r="488" spans="1:23" x14ac:dyDescent="0.25">
      <c r="A488" t="s">
        <v>2310</v>
      </c>
      <c r="B488" s="1">
        <v>45598</v>
      </c>
      <c r="C488" t="s">
        <v>1122</v>
      </c>
      <c r="D488" t="s">
        <v>786</v>
      </c>
      <c r="E488" t="s">
        <v>24</v>
      </c>
      <c r="F488">
        <v>31.82</v>
      </c>
      <c r="G488" t="s">
        <v>61</v>
      </c>
      <c r="H488">
        <v>73.734300000000005</v>
      </c>
      <c r="I488">
        <v>-490140.44</v>
      </c>
      <c r="J488" t="s">
        <v>48</v>
      </c>
      <c r="K488">
        <v>1504518410</v>
      </c>
      <c r="L488" t="s">
        <v>49</v>
      </c>
      <c r="M488" t="s">
        <v>83</v>
      </c>
      <c r="N488" t="s">
        <v>117</v>
      </c>
      <c r="O488" t="s">
        <v>79</v>
      </c>
      <c r="P488" t="s">
        <v>75</v>
      </c>
      <c r="Q488">
        <v>430168</v>
      </c>
      <c r="R488" t="s">
        <v>2309</v>
      </c>
      <c r="S488" t="s">
        <v>1998</v>
      </c>
      <c r="T488">
        <v>955571413</v>
      </c>
      <c r="U488" t="s">
        <v>34</v>
      </c>
      <c r="V488" t="s">
        <v>2476</v>
      </c>
      <c r="W488" s="1">
        <v>44896</v>
      </c>
    </row>
    <row r="489" spans="1:23" x14ac:dyDescent="0.25">
      <c r="A489" t="s">
        <v>2312</v>
      </c>
      <c r="B489" s="1">
        <v>45299</v>
      </c>
      <c r="C489" t="s">
        <v>2313</v>
      </c>
      <c r="D489" t="s">
        <v>360</v>
      </c>
      <c r="E489" t="s">
        <v>73</v>
      </c>
      <c r="F489">
        <v>32.68</v>
      </c>
      <c r="G489" t="s">
        <v>61</v>
      </c>
      <c r="H489">
        <v>78.238799999999998</v>
      </c>
      <c r="I489">
        <v>-2112421</v>
      </c>
      <c r="J489" t="s">
        <v>38</v>
      </c>
      <c r="K489">
        <v>1550397792</v>
      </c>
      <c r="L489" t="s">
        <v>39</v>
      </c>
      <c r="M489" t="s">
        <v>147</v>
      </c>
      <c r="N489" t="s">
        <v>148</v>
      </c>
      <c r="O489" t="s">
        <v>30</v>
      </c>
      <c r="P489" t="s">
        <v>153</v>
      </c>
      <c r="Q489">
        <v>752318</v>
      </c>
      <c r="R489" t="s">
        <v>2314</v>
      </c>
      <c r="S489" t="s">
        <v>361</v>
      </c>
      <c r="T489">
        <v>9362048476</v>
      </c>
      <c r="U489" t="s">
        <v>34</v>
      </c>
      <c r="V489" t="s">
        <v>2477</v>
      </c>
      <c r="W489" s="1">
        <v>43191</v>
      </c>
    </row>
    <row r="490" spans="1:23" x14ac:dyDescent="0.25">
      <c r="A490" t="s">
        <v>2315</v>
      </c>
      <c r="B490" s="1">
        <v>45779</v>
      </c>
      <c r="C490" t="s">
        <v>1719</v>
      </c>
      <c r="D490" t="s">
        <v>262</v>
      </c>
      <c r="E490" t="s">
        <v>24</v>
      </c>
      <c r="F490">
        <v>7.95</v>
      </c>
      <c r="G490" t="s">
        <v>61</v>
      </c>
      <c r="H490">
        <v>79.808800000000005</v>
      </c>
      <c r="I490">
        <v>-2514337.13</v>
      </c>
      <c r="J490" t="s">
        <v>48</v>
      </c>
      <c r="K490">
        <v>9703717748</v>
      </c>
      <c r="L490" t="s">
        <v>49</v>
      </c>
      <c r="M490" t="s">
        <v>28</v>
      </c>
      <c r="N490" t="s">
        <v>119</v>
      </c>
      <c r="O490" t="s">
        <v>79</v>
      </c>
      <c r="P490" t="s">
        <v>107</v>
      </c>
      <c r="Q490">
        <v>611743</v>
      </c>
      <c r="R490" t="s">
        <v>2316</v>
      </c>
      <c r="S490" t="s">
        <v>672</v>
      </c>
      <c r="T490">
        <v>9842694092</v>
      </c>
      <c r="U490" t="s">
        <v>34</v>
      </c>
      <c r="V490" t="s">
        <v>2475</v>
      </c>
      <c r="W490" s="1">
        <v>43647</v>
      </c>
    </row>
    <row r="491" spans="1:23" x14ac:dyDescent="0.25">
      <c r="A491" t="s">
        <v>2317</v>
      </c>
      <c r="B491" s="1">
        <v>45508</v>
      </c>
      <c r="C491" t="s">
        <v>2318</v>
      </c>
      <c r="D491" t="s">
        <v>503</v>
      </c>
      <c r="E491" t="s">
        <v>73</v>
      </c>
      <c r="F491">
        <v>32.69</v>
      </c>
      <c r="G491" t="s">
        <v>66</v>
      </c>
      <c r="H491">
        <v>1</v>
      </c>
      <c r="I491">
        <v>-2678675.98</v>
      </c>
      <c r="J491" t="s">
        <v>86</v>
      </c>
      <c r="K491">
        <v>8643480890</v>
      </c>
      <c r="L491" t="s">
        <v>181</v>
      </c>
      <c r="M491" t="s">
        <v>147</v>
      </c>
      <c r="N491" t="s">
        <v>148</v>
      </c>
      <c r="O491" t="s">
        <v>79</v>
      </c>
      <c r="P491" t="s">
        <v>75</v>
      </c>
      <c r="Q491">
        <v>281445</v>
      </c>
      <c r="R491" t="s">
        <v>1304</v>
      </c>
      <c r="S491" t="s">
        <v>1825</v>
      </c>
      <c r="T491">
        <v>9420674178</v>
      </c>
      <c r="U491" t="s">
        <v>34</v>
      </c>
      <c r="V491" t="s">
        <v>2475</v>
      </c>
      <c r="W491" s="1">
        <v>2018</v>
      </c>
    </row>
    <row r="492" spans="1:23" x14ac:dyDescent="0.25">
      <c r="A492" t="s">
        <v>2319</v>
      </c>
      <c r="B492" s="1">
        <v>45939</v>
      </c>
      <c r="C492" t="s">
        <v>533</v>
      </c>
      <c r="D492" t="s">
        <v>269</v>
      </c>
      <c r="E492" t="s">
        <v>24</v>
      </c>
      <c r="F492">
        <v>4.72</v>
      </c>
      <c r="G492" t="s">
        <v>61</v>
      </c>
      <c r="H492">
        <v>77.4542</v>
      </c>
      <c r="I492">
        <v>-2902379.68</v>
      </c>
      <c r="J492" t="s">
        <v>26</v>
      </c>
      <c r="K492">
        <v>-4307967863</v>
      </c>
      <c r="L492" t="s">
        <v>27</v>
      </c>
      <c r="M492" t="s">
        <v>121</v>
      </c>
      <c r="N492" t="s">
        <v>222</v>
      </c>
      <c r="O492" t="s">
        <v>70</v>
      </c>
      <c r="P492" t="s">
        <v>153</v>
      </c>
      <c r="Q492">
        <v>508589</v>
      </c>
      <c r="R492" t="s">
        <v>1506</v>
      </c>
      <c r="S492" t="s">
        <v>271</v>
      </c>
      <c r="T492">
        <v>9518947561</v>
      </c>
      <c r="U492" t="s">
        <v>34</v>
      </c>
      <c r="V492" t="s">
        <v>2477</v>
      </c>
      <c r="W492" s="1">
        <v>42370</v>
      </c>
    </row>
    <row r="493" spans="1:23" x14ac:dyDescent="0.25">
      <c r="A493" t="s">
        <v>2320</v>
      </c>
      <c r="B493" s="1">
        <v>45385</v>
      </c>
      <c r="C493" t="s">
        <v>2321</v>
      </c>
      <c r="D493" t="s">
        <v>802</v>
      </c>
      <c r="E493" t="s">
        <v>24</v>
      </c>
      <c r="F493">
        <v>45.53</v>
      </c>
      <c r="G493" t="s">
        <v>61</v>
      </c>
      <c r="H493">
        <v>76.002899999999997</v>
      </c>
      <c r="I493">
        <v>-1199188.92</v>
      </c>
      <c r="J493" t="s">
        <v>67</v>
      </c>
      <c r="K493">
        <v>2495909869</v>
      </c>
      <c r="L493" t="s">
        <v>178</v>
      </c>
      <c r="M493" t="s">
        <v>147</v>
      </c>
      <c r="N493" t="s">
        <v>155</v>
      </c>
      <c r="O493" t="s">
        <v>70</v>
      </c>
      <c r="P493" t="s">
        <v>126</v>
      </c>
      <c r="Q493">
        <v>754567</v>
      </c>
      <c r="R493" t="s">
        <v>2322</v>
      </c>
      <c r="S493" t="s">
        <v>2080</v>
      </c>
      <c r="T493">
        <v>-4564561476</v>
      </c>
      <c r="U493" t="s">
        <v>34</v>
      </c>
      <c r="V493" t="s">
        <v>2476</v>
      </c>
      <c r="W493" s="1">
        <v>2025</v>
      </c>
    </row>
    <row r="494" spans="1:23" x14ac:dyDescent="0.25">
      <c r="A494" t="s">
        <v>2323</v>
      </c>
      <c r="B494" s="1">
        <v>45783</v>
      </c>
      <c r="C494" t="s">
        <v>2251</v>
      </c>
      <c r="D494" t="s">
        <v>110</v>
      </c>
      <c r="E494" t="s">
        <v>73</v>
      </c>
      <c r="F494">
        <v>45.47</v>
      </c>
      <c r="G494" t="s">
        <v>66</v>
      </c>
      <c r="H494">
        <v>1</v>
      </c>
      <c r="I494">
        <v>-2538922.9</v>
      </c>
      <c r="J494" t="s">
        <v>91</v>
      </c>
      <c r="K494">
        <v>1692367240</v>
      </c>
      <c r="L494" t="s">
        <v>92</v>
      </c>
      <c r="M494" t="s">
        <v>83</v>
      </c>
      <c r="N494" t="s">
        <v>117</v>
      </c>
      <c r="O494" t="s">
        <v>52</v>
      </c>
      <c r="P494" t="s">
        <v>126</v>
      </c>
      <c r="Q494">
        <v>221226</v>
      </c>
      <c r="R494" t="s">
        <v>2324</v>
      </c>
      <c r="S494" t="s">
        <v>570</v>
      </c>
      <c r="T494">
        <v>6838675071</v>
      </c>
      <c r="U494" t="s">
        <v>34</v>
      </c>
      <c r="V494" t="s">
        <v>2473</v>
      </c>
      <c r="W494" s="1">
        <v>2018</v>
      </c>
    </row>
    <row r="495" spans="1:23" x14ac:dyDescent="0.25">
      <c r="A495" t="s">
        <v>2325</v>
      </c>
      <c r="B495" s="1">
        <v>45843</v>
      </c>
      <c r="C495" t="s">
        <v>647</v>
      </c>
      <c r="D495" t="s">
        <v>242</v>
      </c>
      <c r="E495" t="s">
        <v>24</v>
      </c>
      <c r="F495">
        <v>28.98</v>
      </c>
      <c r="G495" t="s">
        <v>61</v>
      </c>
      <c r="H495">
        <v>73.485399999999998</v>
      </c>
      <c r="I495">
        <v>-595544.81000000006</v>
      </c>
      <c r="J495" t="s">
        <v>116</v>
      </c>
      <c r="K495">
        <v>957610653</v>
      </c>
      <c r="L495" t="s">
        <v>134</v>
      </c>
      <c r="M495" t="s">
        <v>40</v>
      </c>
      <c r="N495" t="s">
        <v>41</v>
      </c>
      <c r="O495" t="s">
        <v>30</v>
      </c>
      <c r="P495" t="s">
        <v>31</v>
      </c>
      <c r="Q495">
        <v>761595</v>
      </c>
      <c r="R495" t="s">
        <v>2326</v>
      </c>
      <c r="S495" t="s">
        <v>1335</v>
      </c>
      <c r="T495">
        <v>3887316776</v>
      </c>
      <c r="U495" t="s">
        <v>34</v>
      </c>
      <c r="V495" t="s">
        <v>2475</v>
      </c>
      <c r="W495" s="1">
        <v>44962</v>
      </c>
    </row>
    <row r="496" spans="1:23" x14ac:dyDescent="0.25">
      <c r="A496" t="s">
        <v>2327</v>
      </c>
      <c r="B496" s="1">
        <v>45543</v>
      </c>
      <c r="C496" t="s">
        <v>2256</v>
      </c>
      <c r="D496" t="s">
        <v>582</v>
      </c>
      <c r="E496" t="s">
        <v>24</v>
      </c>
      <c r="F496">
        <v>68.89</v>
      </c>
      <c r="G496" t="s">
        <v>782</v>
      </c>
      <c r="H496">
        <v>108.8107</v>
      </c>
      <c r="I496">
        <v>-175081.74</v>
      </c>
      <c r="J496" t="s">
        <v>96</v>
      </c>
      <c r="K496">
        <v>-5766566018</v>
      </c>
      <c r="L496" t="s">
        <v>97</v>
      </c>
      <c r="M496" t="s">
        <v>28</v>
      </c>
      <c r="N496" t="s">
        <v>119</v>
      </c>
      <c r="O496" t="s">
        <v>42</v>
      </c>
      <c r="P496" t="s">
        <v>75</v>
      </c>
      <c r="Q496">
        <v>204792</v>
      </c>
      <c r="R496" t="s">
        <v>2328</v>
      </c>
      <c r="S496" t="s">
        <v>583</v>
      </c>
      <c r="T496">
        <v>703723998</v>
      </c>
      <c r="U496" t="s">
        <v>34</v>
      </c>
      <c r="V496" t="s">
        <v>2477</v>
      </c>
      <c r="W496" s="1">
        <v>42370</v>
      </c>
    </row>
    <row r="497" spans="1:23" x14ac:dyDescent="0.25">
      <c r="A497" t="s">
        <v>2329</v>
      </c>
      <c r="B497" s="1">
        <v>45352</v>
      </c>
      <c r="C497" t="s">
        <v>2330</v>
      </c>
      <c r="D497" t="s">
        <v>830</v>
      </c>
      <c r="E497" t="s">
        <v>73</v>
      </c>
      <c r="F497">
        <v>6.14</v>
      </c>
      <c r="G497" t="s">
        <v>66</v>
      </c>
      <c r="H497">
        <v>1</v>
      </c>
      <c r="I497">
        <v>-2669884.19</v>
      </c>
      <c r="J497" t="s">
        <v>102</v>
      </c>
      <c r="K497">
        <v>6538937432</v>
      </c>
      <c r="L497" t="s">
        <v>150</v>
      </c>
      <c r="M497" t="s">
        <v>83</v>
      </c>
      <c r="N497" t="s">
        <v>84</v>
      </c>
      <c r="O497" t="s">
        <v>30</v>
      </c>
      <c r="P497" t="s">
        <v>53</v>
      </c>
      <c r="Q497">
        <v>840859</v>
      </c>
      <c r="R497" t="s">
        <v>232</v>
      </c>
      <c r="S497" t="s">
        <v>1131</v>
      </c>
      <c r="T497">
        <v>-8794271721</v>
      </c>
      <c r="U497" t="s">
        <v>34</v>
      </c>
      <c r="V497" t="s">
        <v>2474</v>
      </c>
      <c r="W497" s="1">
        <v>2022</v>
      </c>
    </row>
    <row r="498" spans="1:23" x14ac:dyDescent="0.25">
      <c r="A498" t="s">
        <v>2331</v>
      </c>
      <c r="B498" s="1">
        <v>45150</v>
      </c>
      <c r="C498" t="s">
        <v>1073</v>
      </c>
      <c r="D498" t="s">
        <v>215</v>
      </c>
      <c r="E498" t="s">
        <v>24</v>
      </c>
      <c r="F498">
        <v>11.33</v>
      </c>
      <c r="G498" t="s">
        <v>66</v>
      </c>
      <c r="H498">
        <v>1</v>
      </c>
      <c r="I498">
        <v>-2933438.06</v>
      </c>
      <c r="J498" t="s">
        <v>48</v>
      </c>
      <c r="K498">
        <v>4964128750</v>
      </c>
      <c r="L498" t="s">
        <v>49</v>
      </c>
      <c r="M498" t="s">
        <v>68</v>
      </c>
      <c r="N498" t="s">
        <v>114</v>
      </c>
      <c r="O498" t="s">
        <v>42</v>
      </c>
      <c r="P498" t="s">
        <v>53</v>
      </c>
      <c r="Q498">
        <v>306720</v>
      </c>
      <c r="R498" t="s">
        <v>1647</v>
      </c>
      <c r="S498" t="s">
        <v>762</v>
      </c>
      <c r="T498">
        <v>-8875832038</v>
      </c>
      <c r="U498" t="s">
        <v>34</v>
      </c>
      <c r="V498" t="s">
        <v>2478</v>
      </c>
      <c r="W498" s="1">
        <v>42313</v>
      </c>
    </row>
    <row r="499" spans="1:23" x14ac:dyDescent="0.25">
      <c r="A499" t="s">
        <v>2332</v>
      </c>
      <c r="B499" s="1">
        <v>45877</v>
      </c>
      <c r="C499" t="s">
        <v>1963</v>
      </c>
      <c r="D499" t="s">
        <v>456</v>
      </c>
      <c r="E499" t="s">
        <v>24</v>
      </c>
      <c r="F499">
        <v>29.11</v>
      </c>
      <c r="G499" t="s">
        <v>47</v>
      </c>
      <c r="H499">
        <v>90.764099999999999</v>
      </c>
      <c r="I499">
        <v>-1163168.28</v>
      </c>
      <c r="J499" t="s">
        <v>26</v>
      </c>
      <c r="K499">
        <v>2030620025</v>
      </c>
      <c r="L499" t="s">
        <v>27</v>
      </c>
      <c r="M499" t="s">
        <v>50</v>
      </c>
      <c r="N499" t="s">
        <v>111</v>
      </c>
      <c r="O499" t="s">
        <v>42</v>
      </c>
      <c r="P499" t="s">
        <v>75</v>
      </c>
      <c r="Q499">
        <v>444827</v>
      </c>
      <c r="R499" t="s">
        <v>2333</v>
      </c>
      <c r="S499" t="s">
        <v>1537</v>
      </c>
      <c r="T499">
        <v>2656603075</v>
      </c>
      <c r="U499" t="s">
        <v>34</v>
      </c>
      <c r="V499" t="s">
        <v>2474</v>
      </c>
      <c r="W499" s="1">
        <v>43464</v>
      </c>
    </row>
    <row r="500" spans="1:23" x14ac:dyDescent="0.25">
      <c r="A500" t="s">
        <v>2122</v>
      </c>
      <c r="B500" s="1">
        <v>45965</v>
      </c>
      <c r="C500" t="s">
        <v>1996</v>
      </c>
      <c r="D500" t="s">
        <v>172</v>
      </c>
      <c r="E500" t="s">
        <v>73</v>
      </c>
      <c r="F500">
        <v>134.43</v>
      </c>
      <c r="G500" t="s">
        <v>66</v>
      </c>
      <c r="H500">
        <v>1</v>
      </c>
      <c r="I500">
        <v>-2868672.38</v>
      </c>
      <c r="J500" t="s">
        <v>62</v>
      </c>
      <c r="K500">
        <v>9060435208</v>
      </c>
      <c r="L500" t="s">
        <v>131</v>
      </c>
      <c r="M500" t="s">
        <v>68</v>
      </c>
      <c r="N500" t="s">
        <v>69</v>
      </c>
      <c r="O500" t="s">
        <v>79</v>
      </c>
      <c r="P500" t="s">
        <v>75</v>
      </c>
      <c r="Q500">
        <v>472833</v>
      </c>
      <c r="R500" t="s">
        <v>2123</v>
      </c>
      <c r="S500" t="s">
        <v>1627</v>
      </c>
      <c r="T500">
        <v>-1277395881</v>
      </c>
      <c r="U500" t="s">
        <v>34</v>
      </c>
      <c r="V500" t="s">
        <v>2478</v>
      </c>
      <c r="W500" s="1">
        <v>2019</v>
      </c>
    </row>
    <row r="501" spans="1:23" x14ac:dyDescent="0.25">
      <c r="A501" t="s">
        <v>2334</v>
      </c>
      <c r="B501" s="1">
        <v>45181</v>
      </c>
      <c r="C501" t="s">
        <v>2335</v>
      </c>
      <c r="D501" t="s">
        <v>201</v>
      </c>
      <c r="E501" t="s">
        <v>55</v>
      </c>
      <c r="F501">
        <v>19.78</v>
      </c>
      <c r="G501" t="s">
        <v>66</v>
      </c>
      <c r="H501">
        <v>1</v>
      </c>
      <c r="I501">
        <v>-593488.55000000005</v>
      </c>
      <c r="J501" t="s">
        <v>98</v>
      </c>
      <c r="K501">
        <v>-6798814352</v>
      </c>
      <c r="L501" t="s">
        <v>99</v>
      </c>
      <c r="M501" t="s">
        <v>28</v>
      </c>
      <c r="N501" t="s">
        <v>29</v>
      </c>
      <c r="O501" t="s">
        <v>52</v>
      </c>
      <c r="P501" t="s">
        <v>107</v>
      </c>
      <c r="Q501">
        <v>104078</v>
      </c>
      <c r="R501" t="s">
        <v>409</v>
      </c>
      <c r="S501" t="s">
        <v>562</v>
      </c>
      <c r="T501">
        <v>-3981654907</v>
      </c>
      <c r="U501" t="s">
        <v>34</v>
      </c>
      <c r="V501" t="s">
        <v>2476</v>
      </c>
      <c r="W501" s="1">
        <v>2026</v>
      </c>
    </row>
    <row r="502" spans="1:23" x14ac:dyDescent="0.25">
      <c r="A502" t="s">
        <v>2336</v>
      </c>
      <c r="B502" s="1">
        <v>45331</v>
      </c>
      <c r="C502" t="s">
        <v>2337</v>
      </c>
      <c r="D502" t="s">
        <v>365</v>
      </c>
      <c r="E502" t="s">
        <v>55</v>
      </c>
      <c r="F502">
        <v>5.33</v>
      </c>
      <c r="G502" t="s">
        <v>61</v>
      </c>
      <c r="H502">
        <v>82.200999999999993</v>
      </c>
      <c r="I502">
        <v>-1284490.22</v>
      </c>
      <c r="J502" t="s">
        <v>38</v>
      </c>
      <c r="K502">
        <v>2223066095</v>
      </c>
      <c r="L502" t="s">
        <v>39</v>
      </c>
      <c r="M502" t="s">
        <v>57</v>
      </c>
      <c r="N502" t="s">
        <v>63</v>
      </c>
      <c r="O502" t="s">
        <v>100</v>
      </c>
      <c r="P502" t="s">
        <v>59</v>
      </c>
      <c r="Q502">
        <v>228460</v>
      </c>
      <c r="R502" t="s">
        <v>2338</v>
      </c>
      <c r="S502" t="s">
        <v>366</v>
      </c>
      <c r="T502">
        <v>6318622459</v>
      </c>
      <c r="U502" t="s">
        <v>34</v>
      </c>
      <c r="V502" t="s">
        <v>2477</v>
      </c>
      <c r="W502" s="1">
        <v>2025</v>
      </c>
    </row>
    <row r="503" spans="1:23" x14ac:dyDescent="0.25">
      <c r="A503" t="s">
        <v>2339</v>
      </c>
      <c r="B503" s="1">
        <v>45569</v>
      </c>
      <c r="C503" t="s">
        <v>2340</v>
      </c>
      <c r="D503" t="s">
        <v>464</v>
      </c>
      <c r="E503" t="s">
        <v>73</v>
      </c>
      <c r="F503">
        <v>19.13</v>
      </c>
      <c r="G503" t="s">
        <v>66</v>
      </c>
      <c r="H503">
        <v>1</v>
      </c>
      <c r="I503">
        <v>-1559080.13</v>
      </c>
      <c r="J503" t="s">
        <v>67</v>
      </c>
      <c r="K503">
        <v>8093975853</v>
      </c>
      <c r="L503" t="s">
        <v>178</v>
      </c>
      <c r="M503" t="s">
        <v>40</v>
      </c>
      <c r="N503" t="s">
        <v>106</v>
      </c>
      <c r="O503" t="s">
        <v>79</v>
      </c>
      <c r="P503" t="s">
        <v>43</v>
      </c>
      <c r="Q503">
        <v>852</v>
      </c>
      <c r="R503" t="s">
        <v>2341</v>
      </c>
      <c r="S503" t="s">
        <v>1864</v>
      </c>
      <c r="T503">
        <v>4333416025</v>
      </c>
      <c r="U503" t="s">
        <v>34</v>
      </c>
      <c r="V503" t="s">
        <v>2473</v>
      </c>
      <c r="W503" s="1">
        <v>44042</v>
      </c>
    </row>
    <row r="504" spans="1:23" x14ac:dyDescent="0.25">
      <c r="A504" t="s">
        <v>2343</v>
      </c>
      <c r="B504" s="1">
        <v>45514</v>
      </c>
      <c r="C504" t="s">
        <v>413</v>
      </c>
      <c r="D504" t="s">
        <v>342</v>
      </c>
      <c r="E504" t="s">
        <v>73</v>
      </c>
      <c r="F504">
        <v>17.559999999999999</v>
      </c>
      <c r="G504" t="s">
        <v>47</v>
      </c>
      <c r="H504">
        <v>93.221999999999994</v>
      </c>
      <c r="I504">
        <v>-976491.22</v>
      </c>
      <c r="J504" t="s">
        <v>26</v>
      </c>
      <c r="K504">
        <v>8193270386</v>
      </c>
      <c r="L504" t="s">
        <v>27</v>
      </c>
      <c r="M504" t="s">
        <v>121</v>
      </c>
      <c r="N504" t="s">
        <v>213</v>
      </c>
      <c r="O504" t="s">
        <v>30</v>
      </c>
      <c r="P504" t="s">
        <v>126</v>
      </c>
      <c r="Q504">
        <v>918020</v>
      </c>
      <c r="R504" t="s">
        <v>2344</v>
      </c>
      <c r="S504" t="s">
        <v>344</v>
      </c>
      <c r="T504">
        <v>9431327288</v>
      </c>
      <c r="U504" t="s">
        <v>34</v>
      </c>
      <c r="V504" t="s">
        <v>2477</v>
      </c>
      <c r="W504" s="1">
        <v>2015</v>
      </c>
    </row>
    <row r="505" spans="1:23" x14ac:dyDescent="0.25">
      <c r="A505" t="s">
        <v>2345</v>
      </c>
      <c r="B505" s="1">
        <v>45839</v>
      </c>
      <c r="C505" t="s">
        <v>2346</v>
      </c>
      <c r="D505" t="s">
        <v>358</v>
      </c>
      <c r="E505" t="s">
        <v>24</v>
      </c>
      <c r="F505">
        <v>95.67</v>
      </c>
      <c r="G505" t="s">
        <v>56</v>
      </c>
      <c r="H505">
        <v>21.851500000000001</v>
      </c>
      <c r="I505">
        <v>-1001138.36</v>
      </c>
      <c r="J505" t="s">
        <v>96</v>
      </c>
      <c r="K505">
        <v>4773924356</v>
      </c>
      <c r="L505" t="s">
        <v>97</v>
      </c>
      <c r="M505" t="s">
        <v>40</v>
      </c>
      <c r="N505" t="s">
        <v>139</v>
      </c>
      <c r="O505" t="s">
        <v>30</v>
      </c>
      <c r="P505" t="s">
        <v>107</v>
      </c>
      <c r="Q505">
        <v>340784</v>
      </c>
      <c r="R505">
        <v>4314040000000000</v>
      </c>
      <c r="S505" t="s">
        <v>2347</v>
      </c>
      <c r="T505">
        <v>7903099010</v>
      </c>
      <c r="U505" t="s">
        <v>34</v>
      </c>
      <c r="V505" t="s">
        <v>2473</v>
      </c>
      <c r="W505" s="1">
        <v>2024</v>
      </c>
    </row>
    <row r="506" spans="1:23" x14ac:dyDescent="0.25">
      <c r="A506" t="s">
        <v>2348</v>
      </c>
      <c r="B506" s="1">
        <v>45537</v>
      </c>
      <c r="C506" t="s">
        <v>1882</v>
      </c>
      <c r="D506" t="s">
        <v>902</v>
      </c>
      <c r="E506" t="s">
        <v>24</v>
      </c>
      <c r="F506">
        <v>186.85</v>
      </c>
      <c r="G506" t="s">
        <v>61</v>
      </c>
      <c r="H506">
        <v>75.700100000000006</v>
      </c>
      <c r="I506">
        <v>-2903983.53</v>
      </c>
      <c r="J506" t="s">
        <v>98</v>
      </c>
      <c r="K506">
        <v>9765713302</v>
      </c>
      <c r="L506" t="s">
        <v>99</v>
      </c>
      <c r="M506" t="s">
        <v>28</v>
      </c>
      <c r="N506" t="s">
        <v>29</v>
      </c>
      <c r="O506" t="s">
        <v>30</v>
      </c>
      <c r="P506" t="s">
        <v>126</v>
      </c>
      <c r="Q506">
        <v>747547</v>
      </c>
      <c r="R506" t="s">
        <v>2349</v>
      </c>
      <c r="S506" t="s">
        <v>903</v>
      </c>
      <c r="T506">
        <v>9787200931</v>
      </c>
      <c r="U506" t="s">
        <v>34</v>
      </c>
      <c r="V506" t="s">
        <v>2478</v>
      </c>
      <c r="W506" s="1">
        <v>44013</v>
      </c>
    </row>
    <row r="507" spans="1:23" x14ac:dyDescent="0.25">
      <c r="A507" t="s">
        <v>2350</v>
      </c>
      <c r="B507" s="1">
        <v>45666</v>
      </c>
      <c r="C507" t="s">
        <v>2351</v>
      </c>
      <c r="D507" t="s">
        <v>735</v>
      </c>
      <c r="E507" t="s">
        <v>24</v>
      </c>
      <c r="F507">
        <v>18.53</v>
      </c>
      <c r="G507" t="s">
        <v>56</v>
      </c>
      <c r="H507">
        <v>20.9069</v>
      </c>
      <c r="I507">
        <v>-2826452.01</v>
      </c>
      <c r="J507" t="s">
        <v>98</v>
      </c>
      <c r="K507">
        <v>6329646382</v>
      </c>
      <c r="L507" t="s">
        <v>99</v>
      </c>
      <c r="M507" t="s">
        <v>87</v>
      </c>
      <c r="N507" t="s">
        <v>151</v>
      </c>
      <c r="O507" t="s">
        <v>52</v>
      </c>
      <c r="P507" t="s">
        <v>107</v>
      </c>
      <c r="Q507">
        <v>352353</v>
      </c>
      <c r="R507">
        <v>4685800000000000</v>
      </c>
      <c r="S507" t="s">
        <v>1776</v>
      </c>
      <c r="T507">
        <v>-2811189793</v>
      </c>
      <c r="U507" t="s">
        <v>34</v>
      </c>
      <c r="V507" t="s">
        <v>2474</v>
      </c>
      <c r="W507" s="1">
        <v>43678</v>
      </c>
    </row>
    <row r="508" spans="1:23" x14ac:dyDescent="0.25">
      <c r="A508" t="s">
        <v>2352</v>
      </c>
      <c r="B508" s="1">
        <v>45569</v>
      </c>
      <c r="C508" t="s">
        <v>2353</v>
      </c>
      <c r="D508" t="s">
        <v>377</v>
      </c>
      <c r="E508" t="s">
        <v>24</v>
      </c>
      <c r="F508">
        <v>8.4600000000000009</v>
      </c>
      <c r="G508" t="s">
        <v>61</v>
      </c>
      <c r="H508">
        <v>82.984800000000007</v>
      </c>
      <c r="I508">
        <v>-1559512.95</v>
      </c>
      <c r="J508" t="s">
        <v>102</v>
      </c>
      <c r="K508">
        <v>-1529509870</v>
      </c>
      <c r="L508" t="s">
        <v>150</v>
      </c>
      <c r="M508" t="s">
        <v>57</v>
      </c>
      <c r="N508" t="s">
        <v>209</v>
      </c>
      <c r="O508" t="s">
        <v>52</v>
      </c>
      <c r="P508" t="s">
        <v>153</v>
      </c>
      <c r="Q508">
        <v>698925</v>
      </c>
      <c r="R508" t="s">
        <v>2354</v>
      </c>
      <c r="S508" t="s">
        <v>378</v>
      </c>
      <c r="T508">
        <v>8892692036</v>
      </c>
      <c r="U508" t="s">
        <v>34</v>
      </c>
      <c r="V508" t="s">
        <v>2476</v>
      </c>
      <c r="W508" s="1">
        <v>45180</v>
      </c>
    </row>
    <row r="509" spans="1:23" x14ac:dyDescent="0.25">
      <c r="A509" t="s">
        <v>1757</v>
      </c>
      <c r="B509" s="1">
        <v>45873</v>
      </c>
      <c r="C509" t="s">
        <v>650</v>
      </c>
      <c r="D509" t="s">
        <v>294</v>
      </c>
      <c r="E509" t="s">
        <v>73</v>
      </c>
      <c r="F509">
        <v>349.01</v>
      </c>
      <c r="G509" t="s">
        <v>47</v>
      </c>
      <c r="H509">
        <v>104.7129</v>
      </c>
      <c r="I509">
        <v>-1604206.37</v>
      </c>
      <c r="J509" t="s">
        <v>74</v>
      </c>
      <c r="K509">
        <v>4451939954</v>
      </c>
      <c r="L509" t="s">
        <v>105</v>
      </c>
      <c r="M509" t="s">
        <v>68</v>
      </c>
      <c r="N509" t="s">
        <v>277</v>
      </c>
      <c r="O509" t="s">
        <v>79</v>
      </c>
      <c r="P509" t="s">
        <v>153</v>
      </c>
      <c r="Q509">
        <v>335672</v>
      </c>
      <c r="R509" t="s">
        <v>256</v>
      </c>
      <c r="S509" t="s">
        <v>295</v>
      </c>
      <c r="T509">
        <v>-7262098527</v>
      </c>
      <c r="U509" t="s">
        <v>34</v>
      </c>
      <c r="V509" t="s">
        <v>2478</v>
      </c>
      <c r="W509" s="1">
        <v>44869</v>
      </c>
    </row>
    <row r="510" spans="1:23" x14ac:dyDescent="0.25">
      <c r="A510" t="s">
        <v>2355</v>
      </c>
      <c r="B510" s="1">
        <v>45753</v>
      </c>
      <c r="C510" t="s">
        <v>1307</v>
      </c>
      <c r="D510" t="s">
        <v>37</v>
      </c>
      <c r="E510" t="s">
        <v>24</v>
      </c>
      <c r="F510">
        <v>28.01</v>
      </c>
      <c r="G510" t="s">
        <v>56</v>
      </c>
      <c r="H510">
        <v>21.080400000000001</v>
      </c>
      <c r="I510">
        <v>-1676320.34</v>
      </c>
      <c r="J510" t="s">
        <v>74</v>
      </c>
      <c r="K510">
        <v>1401474042</v>
      </c>
      <c r="L510" t="s">
        <v>105</v>
      </c>
      <c r="M510" t="s">
        <v>40</v>
      </c>
      <c r="N510" t="s">
        <v>106</v>
      </c>
      <c r="O510" t="s">
        <v>100</v>
      </c>
      <c r="P510" t="s">
        <v>126</v>
      </c>
      <c r="Q510">
        <v>191754</v>
      </c>
      <c r="R510" t="s">
        <v>2356</v>
      </c>
      <c r="S510" t="s">
        <v>1175</v>
      </c>
      <c r="T510">
        <v>6702091663</v>
      </c>
      <c r="U510" t="s">
        <v>34</v>
      </c>
      <c r="V510" t="s">
        <v>2472</v>
      </c>
      <c r="W510" s="1">
        <v>44225</v>
      </c>
    </row>
    <row r="511" spans="1:23" x14ac:dyDescent="0.25">
      <c r="A511" t="s">
        <v>2357</v>
      </c>
      <c r="B511" s="1">
        <v>44968</v>
      </c>
      <c r="C511" t="s">
        <v>2358</v>
      </c>
      <c r="D511" t="s">
        <v>1706</v>
      </c>
      <c r="E511" t="s">
        <v>24</v>
      </c>
      <c r="F511">
        <v>67</v>
      </c>
      <c r="G511" t="s">
        <v>66</v>
      </c>
      <c r="H511">
        <v>1</v>
      </c>
      <c r="I511">
        <v>-2592612.62</v>
      </c>
      <c r="J511" t="s">
        <v>26</v>
      </c>
      <c r="K511">
        <v>1884798052</v>
      </c>
      <c r="L511" t="s">
        <v>27</v>
      </c>
      <c r="M511" t="s">
        <v>50</v>
      </c>
      <c r="N511" t="s">
        <v>51</v>
      </c>
      <c r="O511" t="s">
        <v>79</v>
      </c>
      <c r="P511" t="s">
        <v>153</v>
      </c>
      <c r="Q511">
        <v>165292</v>
      </c>
      <c r="R511">
        <v>4375960000000000</v>
      </c>
      <c r="S511" t="s">
        <v>461</v>
      </c>
      <c r="T511">
        <v>7446915486</v>
      </c>
      <c r="U511" t="s">
        <v>34</v>
      </c>
      <c r="V511" t="s">
        <v>2472</v>
      </c>
      <c r="W511" s="1">
        <v>44405</v>
      </c>
    </row>
    <row r="512" spans="1:23" x14ac:dyDescent="0.25">
      <c r="A512" t="s">
        <v>2360</v>
      </c>
      <c r="B512" s="1">
        <v>45541</v>
      </c>
      <c r="C512" t="s">
        <v>2361</v>
      </c>
      <c r="D512" t="s">
        <v>393</v>
      </c>
      <c r="E512" t="s">
        <v>55</v>
      </c>
      <c r="F512">
        <v>34.659999999999997</v>
      </c>
      <c r="G512" t="s">
        <v>56</v>
      </c>
      <c r="H512">
        <v>19.907</v>
      </c>
      <c r="I512">
        <v>-541822.22</v>
      </c>
      <c r="J512" t="s">
        <v>81</v>
      </c>
      <c r="K512">
        <v>5438285941</v>
      </c>
      <c r="L512" t="s">
        <v>82</v>
      </c>
      <c r="M512" t="s">
        <v>83</v>
      </c>
      <c r="N512" t="s">
        <v>117</v>
      </c>
      <c r="O512" t="s">
        <v>79</v>
      </c>
      <c r="P512" t="s">
        <v>75</v>
      </c>
      <c r="Q512">
        <v>276746</v>
      </c>
      <c r="R512" t="s">
        <v>2362</v>
      </c>
      <c r="S512" t="s">
        <v>1916</v>
      </c>
      <c r="T512">
        <v>663736169</v>
      </c>
      <c r="U512" t="s">
        <v>34</v>
      </c>
      <c r="V512" t="s">
        <v>2478</v>
      </c>
      <c r="W512" s="1">
        <v>43132</v>
      </c>
    </row>
    <row r="513" spans="1:23" x14ac:dyDescent="0.25">
      <c r="A513" t="s">
        <v>2363</v>
      </c>
      <c r="B513" s="1">
        <v>45720</v>
      </c>
      <c r="C513" t="s">
        <v>2364</v>
      </c>
      <c r="D513" t="s">
        <v>201</v>
      </c>
      <c r="E513" t="s">
        <v>24</v>
      </c>
      <c r="F513">
        <v>14.39</v>
      </c>
      <c r="G513" t="s">
        <v>61</v>
      </c>
      <c r="H513">
        <v>75.374700000000004</v>
      </c>
      <c r="I513">
        <v>-1705934.41</v>
      </c>
      <c r="J513" t="s">
        <v>86</v>
      </c>
      <c r="K513">
        <v>8512429740</v>
      </c>
      <c r="L513" t="s">
        <v>181</v>
      </c>
      <c r="M513" t="s">
        <v>121</v>
      </c>
      <c r="N513" t="s">
        <v>122</v>
      </c>
      <c r="O513" t="s">
        <v>79</v>
      </c>
      <c r="P513" t="s">
        <v>75</v>
      </c>
      <c r="Q513">
        <v>716292</v>
      </c>
      <c r="R513" t="s">
        <v>2365</v>
      </c>
      <c r="S513" t="s">
        <v>202</v>
      </c>
      <c r="T513">
        <v>7096472957</v>
      </c>
      <c r="U513" t="s">
        <v>34</v>
      </c>
      <c r="V513" t="s">
        <v>2476</v>
      </c>
      <c r="W513" s="1">
        <v>2021</v>
      </c>
    </row>
    <row r="514" spans="1:23" x14ac:dyDescent="0.25">
      <c r="A514" t="s">
        <v>2366</v>
      </c>
      <c r="B514" s="1">
        <v>45089</v>
      </c>
      <c r="C514" t="s">
        <v>1630</v>
      </c>
      <c r="D514" t="s">
        <v>160</v>
      </c>
      <c r="E514" t="s">
        <v>73</v>
      </c>
      <c r="F514">
        <v>42.22</v>
      </c>
      <c r="G514" t="s">
        <v>47</v>
      </c>
      <c r="H514">
        <v>106.3974</v>
      </c>
      <c r="I514">
        <v>-1653243.31</v>
      </c>
      <c r="J514" t="s">
        <v>128</v>
      </c>
      <c r="K514">
        <v>-4009770519</v>
      </c>
      <c r="L514" t="s">
        <v>129</v>
      </c>
      <c r="M514" t="s">
        <v>87</v>
      </c>
      <c r="N514" t="s">
        <v>151</v>
      </c>
      <c r="O514" t="s">
        <v>42</v>
      </c>
      <c r="P514" t="s">
        <v>75</v>
      </c>
      <c r="Q514">
        <v>186112</v>
      </c>
      <c r="R514" t="s">
        <v>2093</v>
      </c>
      <c r="S514" t="s">
        <v>1584</v>
      </c>
      <c r="T514">
        <v>3436276100</v>
      </c>
      <c r="U514" t="s">
        <v>34</v>
      </c>
      <c r="V514" t="s">
        <v>2477</v>
      </c>
      <c r="W514" s="1">
        <v>2019</v>
      </c>
    </row>
    <row r="515" spans="1:23" x14ac:dyDescent="0.25">
      <c r="A515" t="s">
        <v>2367</v>
      </c>
      <c r="B515" s="1">
        <v>45597</v>
      </c>
      <c r="C515" t="s">
        <v>2368</v>
      </c>
      <c r="D515" t="s">
        <v>80</v>
      </c>
      <c r="E515" t="s">
        <v>24</v>
      </c>
      <c r="F515">
        <v>32.04</v>
      </c>
      <c r="G515" t="s">
        <v>56</v>
      </c>
      <c r="H515">
        <v>21.232600000000001</v>
      </c>
      <c r="I515">
        <v>-1000629.67</v>
      </c>
      <c r="J515" t="s">
        <v>116</v>
      </c>
      <c r="K515">
        <v>4770249820</v>
      </c>
      <c r="L515" t="s">
        <v>134</v>
      </c>
      <c r="M515" t="s">
        <v>83</v>
      </c>
      <c r="N515" t="s">
        <v>84</v>
      </c>
      <c r="O515" t="s">
        <v>42</v>
      </c>
      <c r="P515" t="s">
        <v>43</v>
      </c>
      <c r="Q515">
        <v>329</v>
      </c>
      <c r="R515" t="s">
        <v>2369</v>
      </c>
      <c r="S515" t="s">
        <v>937</v>
      </c>
      <c r="T515">
        <v>-1224673</v>
      </c>
      <c r="U515" t="s">
        <v>34</v>
      </c>
      <c r="V515" t="s">
        <v>2478</v>
      </c>
      <c r="W515" s="1">
        <v>2023</v>
      </c>
    </row>
    <row r="516" spans="1:23" x14ac:dyDescent="0.25">
      <c r="A516" t="s">
        <v>2370</v>
      </c>
      <c r="B516" s="1">
        <v>45997</v>
      </c>
      <c r="C516" t="s">
        <v>2160</v>
      </c>
      <c r="D516" t="s">
        <v>170</v>
      </c>
      <c r="E516" t="s">
        <v>73</v>
      </c>
      <c r="F516">
        <v>-97.78</v>
      </c>
      <c r="G516" t="s">
        <v>56</v>
      </c>
      <c r="H516">
        <v>20.392700000000001</v>
      </c>
      <c r="I516">
        <v>-1560683.43</v>
      </c>
      <c r="J516" t="s">
        <v>98</v>
      </c>
      <c r="K516">
        <v>4615213663</v>
      </c>
      <c r="L516" t="s">
        <v>99</v>
      </c>
      <c r="M516" t="s">
        <v>50</v>
      </c>
      <c r="N516" t="s">
        <v>51</v>
      </c>
      <c r="O516" t="s">
        <v>100</v>
      </c>
      <c r="P516" t="s">
        <v>71</v>
      </c>
      <c r="Q516">
        <v>307475</v>
      </c>
      <c r="R516" t="s">
        <v>1368</v>
      </c>
      <c r="S516" t="s">
        <v>488</v>
      </c>
      <c r="T516">
        <v>2159228891</v>
      </c>
      <c r="U516" t="s">
        <v>34</v>
      </c>
      <c r="V516" t="s">
        <v>2473</v>
      </c>
      <c r="W516" s="1">
        <v>43160</v>
      </c>
    </row>
    <row r="517" spans="1:23" x14ac:dyDescent="0.25">
      <c r="A517" t="s">
        <v>2371</v>
      </c>
      <c r="B517" s="1">
        <v>45242</v>
      </c>
      <c r="C517" t="s">
        <v>1507</v>
      </c>
      <c r="D517" t="s">
        <v>786</v>
      </c>
      <c r="E517" t="s">
        <v>73</v>
      </c>
      <c r="F517">
        <v>9.1999999999999993</v>
      </c>
      <c r="G517" t="s">
        <v>47</v>
      </c>
      <c r="H517">
        <v>93.929699999999997</v>
      </c>
      <c r="I517">
        <v>-1076395.75</v>
      </c>
      <c r="J517" t="s">
        <v>48</v>
      </c>
      <c r="K517">
        <v>2017598475</v>
      </c>
      <c r="L517" t="s">
        <v>49</v>
      </c>
      <c r="M517" t="s">
        <v>77</v>
      </c>
      <c r="N517" t="s">
        <v>136</v>
      </c>
      <c r="O517" t="s">
        <v>100</v>
      </c>
      <c r="P517" t="s">
        <v>126</v>
      </c>
      <c r="Q517">
        <v>784337</v>
      </c>
      <c r="R517" t="s">
        <v>2372</v>
      </c>
      <c r="S517" t="s">
        <v>2373</v>
      </c>
      <c r="T517">
        <v>326737558</v>
      </c>
      <c r="U517" t="s">
        <v>34</v>
      </c>
      <c r="V517" t="s">
        <v>2476</v>
      </c>
      <c r="W517" s="1">
        <v>43091</v>
      </c>
    </row>
    <row r="518" spans="1:23" x14ac:dyDescent="0.25">
      <c r="A518" t="s">
        <v>2374</v>
      </c>
      <c r="B518" s="1">
        <v>45817</v>
      </c>
      <c r="C518" t="s">
        <v>1329</v>
      </c>
      <c r="D518" t="s">
        <v>1010</v>
      </c>
      <c r="E518" t="s">
        <v>73</v>
      </c>
      <c r="F518">
        <v>12.41</v>
      </c>
      <c r="G518" t="s">
        <v>66</v>
      </c>
      <c r="H518">
        <v>1</v>
      </c>
      <c r="I518">
        <v>-175594.06</v>
      </c>
      <c r="J518" t="s">
        <v>102</v>
      </c>
      <c r="K518">
        <v>9908678437</v>
      </c>
      <c r="L518" t="s">
        <v>150</v>
      </c>
      <c r="M518" t="s">
        <v>28</v>
      </c>
      <c r="N518" t="s">
        <v>29</v>
      </c>
      <c r="O518" t="s">
        <v>100</v>
      </c>
      <c r="P518" t="s">
        <v>107</v>
      </c>
      <c r="Q518">
        <v>232768</v>
      </c>
      <c r="R518">
        <v>4713800000000000</v>
      </c>
      <c r="S518" t="s">
        <v>1123</v>
      </c>
      <c r="T518">
        <v>1755159157</v>
      </c>
      <c r="U518" t="s">
        <v>34</v>
      </c>
      <c r="V518" t="s">
        <v>2474</v>
      </c>
      <c r="W518" s="1">
        <v>43169</v>
      </c>
    </row>
    <row r="519" spans="1:23" x14ac:dyDescent="0.25">
      <c r="A519" t="s">
        <v>2375</v>
      </c>
      <c r="B519" s="1">
        <v>45809</v>
      </c>
      <c r="C519" t="s">
        <v>1718</v>
      </c>
      <c r="D519" t="s">
        <v>253</v>
      </c>
      <c r="E519" t="s">
        <v>24</v>
      </c>
      <c r="F519">
        <v>11.99</v>
      </c>
      <c r="G519" t="s">
        <v>61</v>
      </c>
      <c r="H519">
        <v>81.462699999999998</v>
      </c>
      <c r="I519">
        <v>-1641785.62</v>
      </c>
      <c r="J519" t="s">
        <v>62</v>
      </c>
      <c r="K519">
        <v>3755343360</v>
      </c>
      <c r="L519" t="s">
        <v>131</v>
      </c>
      <c r="M519" t="s">
        <v>28</v>
      </c>
      <c r="N519" t="s">
        <v>119</v>
      </c>
      <c r="O519" t="s">
        <v>30</v>
      </c>
      <c r="P519" t="s">
        <v>126</v>
      </c>
      <c r="Q519">
        <v>776925</v>
      </c>
      <c r="R519" t="s">
        <v>2376</v>
      </c>
      <c r="S519" t="s">
        <v>318</v>
      </c>
      <c r="T519">
        <v>7698474683</v>
      </c>
      <c r="U519" t="s">
        <v>34</v>
      </c>
      <c r="V519" t="s">
        <v>2473</v>
      </c>
      <c r="W519" s="1">
        <v>2021</v>
      </c>
    </row>
    <row r="520" spans="1:23" x14ac:dyDescent="0.25">
      <c r="A520" t="s">
        <v>2377</v>
      </c>
      <c r="B520" s="1">
        <v>45453</v>
      </c>
      <c r="C520" t="s">
        <v>2261</v>
      </c>
      <c r="D520" t="s">
        <v>262</v>
      </c>
      <c r="E520" t="s">
        <v>24</v>
      </c>
      <c r="F520">
        <v>195.98</v>
      </c>
      <c r="G520" t="s">
        <v>61</v>
      </c>
      <c r="H520">
        <v>72.216499999999996</v>
      </c>
      <c r="I520">
        <v>-1604031.86</v>
      </c>
      <c r="J520" t="s">
        <v>74</v>
      </c>
      <c r="K520">
        <v>3266473633</v>
      </c>
      <c r="L520" t="s">
        <v>105</v>
      </c>
      <c r="M520" t="s">
        <v>50</v>
      </c>
      <c r="N520" t="s">
        <v>111</v>
      </c>
      <c r="O520" t="s">
        <v>30</v>
      </c>
      <c r="P520" t="s">
        <v>107</v>
      </c>
      <c r="Q520">
        <v>102970</v>
      </c>
      <c r="R520" t="s">
        <v>2378</v>
      </c>
      <c r="S520" t="s">
        <v>672</v>
      </c>
      <c r="T520">
        <v>1966594720</v>
      </c>
      <c r="U520" t="s">
        <v>34</v>
      </c>
      <c r="V520" t="s">
        <v>2472</v>
      </c>
      <c r="W520" s="1">
        <v>2024</v>
      </c>
    </row>
    <row r="521" spans="1:23" x14ac:dyDescent="0.25">
      <c r="A521" t="s">
        <v>2379</v>
      </c>
      <c r="B521" s="1">
        <v>45810</v>
      </c>
      <c r="C521" t="s">
        <v>2121</v>
      </c>
      <c r="D521" t="s">
        <v>309</v>
      </c>
      <c r="E521" t="s">
        <v>24</v>
      </c>
      <c r="F521">
        <v>265.91000000000003</v>
      </c>
      <c r="G521" t="s">
        <v>61</v>
      </c>
      <c r="H521">
        <v>81.113799999999998</v>
      </c>
      <c r="I521">
        <v>-541342.92000000004</v>
      </c>
      <c r="J521" t="s">
        <v>128</v>
      </c>
      <c r="K521">
        <v>3379078340</v>
      </c>
      <c r="L521" t="s">
        <v>129</v>
      </c>
      <c r="M521" t="s">
        <v>83</v>
      </c>
      <c r="N521" t="s">
        <v>117</v>
      </c>
      <c r="O521" t="s">
        <v>30</v>
      </c>
      <c r="P521" t="s">
        <v>31</v>
      </c>
      <c r="Q521">
        <v>820436</v>
      </c>
      <c r="R521" t="s">
        <v>2380</v>
      </c>
      <c r="S521" t="s">
        <v>1448</v>
      </c>
      <c r="T521">
        <v>1721500184</v>
      </c>
      <c r="U521" t="s">
        <v>34</v>
      </c>
      <c r="V521" t="s">
        <v>2478</v>
      </c>
      <c r="W521" s="1">
        <v>42795</v>
      </c>
    </row>
    <row r="522" spans="1:23" x14ac:dyDescent="0.25">
      <c r="A522" t="s">
        <v>2381</v>
      </c>
      <c r="B522" s="1">
        <v>45999</v>
      </c>
      <c r="C522" t="s">
        <v>2115</v>
      </c>
      <c r="D522" t="s">
        <v>2382</v>
      </c>
      <c r="E522" t="s">
        <v>73</v>
      </c>
      <c r="F522">
        <v>28.84</v>
      </c>
      <c r="G522" t="s">
        <v>66</v>
      </c>
      <c r="H522">
        <v>1</v>
      </c>
      <c r="I522">
        <v>-2428584</v>
      </c>
      <c r="J522" t="s">
        <v>96</v>
      </c>
      <c r="K522">
        <v>512446730</v>
      </c>
      <c r="L522" t="s">
        <v>97</v>
      </c>
      <c r="M522" t="s">
        <v>68</v>
      </c>
      <c r="N522" t="s">
        <v>277</v>
      </c>
      <c r="O522" t="s">
        <v>79</v>
      </c>
      <c r="P522" t="s">
        <v>53</v>
      </c>
      <c r="Q522">
        <v>732331</v>
      </c>
      <c r="R522" t="s">
        <v>886</v>
      </c>
      <c r="S522" t="s">
        <v>159</v>
      </c>
      <c r="T522">
        <v>-1974198587</v>
      </c>
      <c r="U522" t="s">
        <v>34</v>
      </c>
      <c r="V522" t="s">
        <v>2474</v>
      </c>
      <c r="W522" s="1">
        <v>2024</v>
      </c>
    </row>
    <row r="523" spans="1:23" x14ac:dyDescent="0.25">
      <c r="A523" t="s">
        <v>2383</v>
      </c>
      <c r="B523" s="1">
        <v>45478</v>
      </c>
      <c r="C523" t="s">
        <v>1222</v>
      </c>
      <c r="D523" t="s">
        <v>503</v>
      </c>
      <c r="E523" t="s">
        <v>24</v>
      </c>
      <c r="F523">
        <v>91.16</v>
      </c>
      <c r="G523" t="s">
        <v>61</v>
      </c>
      <c r="H523">
        <v>77.3292</v>
      </c>
      <c r="I523">
        <v>-2677988.52</v>
      </c>
      <c r="J523" t="s">
        <v>116</v>
      </c>
      <c r="K523">
        <v>6704943880</v>
      </c>
      <c r="L523" t="s">
        <v>134</v>
      </c>
      <c r="M523" t="s">
        <v>77</v>
      </c>
      <c r="N523" t="s">
        <v>78</v>
      </c>
      <c r="O523" t="s">
        <v>30</v>
      </c>
      <c r="P523" t="s">
        <v>107</v>
      </c>
      <c r="Q523">
        <v>913258</v>
      </c>
      <c r="R523" t="s">
        <v>2384</v>
      </c>
      <c r="S523" t="s">
        <v>1961</v>
      </c>
      <c r="T523">
        <v>4581730614</v>
      </c>
      <c r="U523" t="s">
        <v>34</v>
      </c>
      <c r="V523" t="s">
        <v>2475</v>
      </c>
      <c r="W523" s="1">
        <v>2017</v>
      </c>
    </row>
    <row r="524" spans="1:23" x14ac:dyDescent="0.25">
      <c r="A524" t="s">
        <v>2385</v>
      </c>
      <c r="B524" s="1">
        <v>45997</v>
      </c>
      <c r="C524" t="s">
        <v>577</v>
      </c>
      <c r="D524" t="s">
        <v>2386</v>
      </c>
      <c r="E524" t="s">
        <v>24</v>
      </c>
      <c r="F524">
        <v>138.41999999999999</v>
      </c>
      <c r="G524" t="s">
        <v>61</v>
      </c>
      <c r="H524">
        <v>80.674099999999996</v>
      </c>
      <c r="I524">
        <v>-2119545.88</v>
      </c>
      <c r="J524" t="s">
        <v>26</v>
      </c>
      <c r="K524">
        <v>9283739796</v>
      </c>
      <c r="L524" t="s">
        <v>27</v>
      </c>
      <c r="M524" t="s">
        <v>57</v>
      </c>
      <c r="N524" t="s">
        <v>63</v>
      </c>
      <c r="O524" t="s">
        <v>79</v>
      </c>
      <c r="P524" t="s">
        <v>43</v>
      </c>
      <c r="Q524">
        <v>740832</v>
      </c>
      <c r="R524" t="s">
        <v>2387</v>
      </c>
      <c r="S524" t="s">
        <v>1410</v>
      </c>
      <c r="T524">
        <v>5364933380</v>
      </c>
      <c r="U524" t="s">
        <v>34</v>
      </c>
      <c r="V524" t="s">
        <v>2478</v>
      </c>
      <c r="W524" s="1">
        <v>44642</v>
      </c>
    </row>
    <row r="525" spans="1:23" x14ac:dyDescent="0.25">
      <c r="A525" t="s">
        <v>2388</v>
      </c>
      <c r="B525" s="1">
        <v>45599</v>
      </c>
      <c r="C525" t="s">
        <v>2389</v>
      </c>
      <c r="D525" t="s">
        <v>571</v>
      </c>
      <c r="E525" t="s">
        <v>24</v>
      </c>
      <c r="F525">
        <v>8.98</v>
      </c>
      <c r="G525" t="s">
        <v>2506</v>
      </c>
      <c r="H525">
        <v>1</v>
      </c>
      <c r="I525">
        <v>-1271039.3899999999</v>
      </c>
      <c r="J525" t="s">
        <v>38</v>
      </c>
      <c r="K525">
        <v>2487841213</v>
      </c>
      <c r="L525" t="s">
        <v>39</v>
      </c>
      <c r="M525" t="s">
        <v>40</v>
      </c>
      <c r="N525" t="s">
        <v>41</v>
      </c>
      <c r="O525" t="s">
        <v>79</v>
      </c>
      <c r="P525" t="s">
        <v>71</v>
      </c>
      <c r="Q525">
        <v>131279</v>
      </c>
      <c r="R525" t="s">
        <v>1443</v>
      </c>
      <c r="S525" t="s">
        <v>2390</v>
      </c>
      <c r="T525">
        <v>9886179492</v>
      </c>
      <c r="U525" t="s">
        <v>34</v>
      </c>
      <c r="V525" t="s">
        <v>2475</v>
      </c>
      <c r="W525" s="1">
        <v>42618</v>
      </c>
    </row>
    <row r="526" spans="1:23" x14ac:dyDescent="0.25">
      <c r="A526" t="s">
        <v>2391</v>
      </c>
      <c r="B526" s="1">
        <v>45449</v>
      </c>
      <c r="C526" t="s">
        <v>709</v>
      </c>
      <c r="D526" t="s">
        <v>543</v>
      </c>
      <c r="E526" t="s">
        <v>24</v>
      </c>
      <c r="F526">
        <v>5.17</v>
      </c>
      <c r="G526" t="s">
        <v>47</v>
      </c>
      <c r="H526">
        <v>93.978300000000004</v>
      </c>
      <c r="I526">
        <v>-1642242.02</v>
      </c>
      <c r="J526" t="s">
        <v>67</v>
      </c>
      <c r="K526">
        <v>4087364971</v>
      </c>
      <c r="L526" t="s">
        <v>178</v>
      </c>
      <c r="M526" t="s">
        <v>28</v>
      </c>
      <c r="N526" t="s">
        <v>29</v>
      </c>
      <c r="O526" t="s">
        <v>70</v>
      </c>
      <c r="P526" t="s">
        <v>43</v>
      </c>
      <c r="Q526">
        <v>147438</v>
      </c>
      <c r="R526" t="s">
        <v>2392</v>
      </c>
      <c r="S526" t="s">
        <v>1260</v>
      </c>
      <c r="T526">
        <v>6212035096</v>
      </c>
      <c r="U526" t="s">
        <v>34</v>
      </c>
      <c r="V526" t="s">
        <v>2473</v>
      </c>
      <c r="W526" s="1">
        <v>45748</v>
      </c>
    </row>
    <row r="527" spans="1:23" x14ac:dyDescent="0.25">
      <c r="A527" t="s">
        <v>2393</v>
      </c>
      <c r="B527" s="1">
        <v>45452</v>
      </c>
      <c r="C527" t="s">
        <v>1817</v>
      </c>
      <c r="D527" t="s">
        <v>37</v>
      </c>
      <c r="E527" t="s">
        <v>24</v>
      </c>
      <c r="F527">
        <v>-1.81</v>
      </c>
      <c r="G527" t="s">
        <v>47</v>
      </c>
      <c r="H527">
        <v>102.1152</v>
      </c>
      <c r="I527">
        <v>-1001090.53</v>
      </c>
      <c r="J527" t="s">
        <v>91</v>
      </c>
      <c r="K527">
        <v>528137294</v>
      </c>
      <c r="L527" t="s">
        <v>92</v>
      </c>
      <c r="M527" t="s">
        <v>147</v>
      </c>
      <c r="N527" t="s">
        <v>148</v>
      </c>
      <c r="O527" t="s">
        <v>30</v>
      </c>
      <c r="P527" t="s">
        <v>107</v>
      </c>
      <c r="Q527">
        <v>875430</v>
      </c>
      <c r="R527" t="s">
        <v>2394</v>
      </c>
      <c r="S527" t="s">
        <v>45</v>
      </c>
      <c r="T527">
        <v>-2567103896</v>
      </c>
      <c r="U527" t="s">
        <v>34</v>
      </c>
      <c r="V527" t="s">
        <v>2475</v>
      </c>
      <c r="W527" s="1">
        <v>43494</v>
      </c>
    </row>
    <row r="528" spans="1:23" x14ac:dyDescent="0.25">
      <c r="A528" t="s">
        <v>2395</v>
      </c>
      <c r="B528" s="1">
        <v>45908</v>
      </c>
      <c r="C528" t="s">
        <v>2396</v>
      </c>
      <c r="D528" t="s">
        <v>263</v>
      </c>
      <c r="E528" t="s">
        <v>55</v>
      </c>
      <c r="F528">
        <v>50.91</v>
      </c>
      <c r="G528" t="s">
        <v>47</v>
      </c>
      <c r="H528">
        <v>101.1528</v>
      </c>
      <c r="I528">
        <v>-2913263.77</v>
      </c>
      <c r="J528" t="s">
        <v>38</v>
      </c>
      <c r="K528">
        <v>2213571126</v>
      </c>
      <c r="L528" t="s">
        <v>39</v>
      </c>
      <c r="M528" t="s">
        <v>83</v>
      </c>
      <c r="N528" t="s">
        <v>117</v>
      </c>
      <c r="O528" t="s">
        <v>100</v>
      </c>
      <c r="P528" t="s">
        <v>53</v>
      </c>
      <c r="Q528">
        <v>910936</v>
      </c>
      <c r="R528">
        <v>4623670000000000</v>
      </c>
      <c r="S528" t="s">
        <v>264</v>
      </c>
      <c r="T528">
        <v>8296234576</v>
      </c>
      <c r="U528" t="s">
        <v>34</v>
      </c>
      <c r="V528" t="s">
        <v>2474</v>
      </c>
      <c r="W528" s="1">
        <v>2025</v>
      </c>
    </row>
    <row r="529" spans="1:23" x14ac:dyDescent="0.25">
      <c r="A529" t="s">
        <v>2397</v>
      </c>
      <c r="B529" s="1">
        <v>45416</v>
      </c>
      <c r="C529" t="s">
        <v>2398</v>
      </c>
      <c r="D529" t="s">
        <v>902</v>
      </c>
      <c r="E529" t="s">
        <v>24</v>
      </c>
      <c r="F529">
        <v>303.68</v>
      </c>
      <c r="G529" t="s">
        <v>47</v>
      </c>
      <c r="H529">
        <v>102.45480000000001</v>
      </c>
      <c r="I529">
        <v>-530323.26</v>
      </c>
      <c r="J529" t="s">
        <v>48</v>
      </c>
      <c r="K529">
        <v>-4051994696</v>
      </c>
      <c r="L529" t="s">
        <v>49</v>
      </c>
      <c r="M529" t="s">
        <v>87</v>
      </c>
      <c r="N529" t="s">
        <v>88</v>
      </c>
      <c r="O529" t="s">
        <v>52</v>
      </c>
      <c r="P529" t="s">
        <v>75</v>
      </c>
      <c r="Q529">
        <v>811805</v>
      </c>
      <c r="R529" t="s">
        <v>2399</v>
      </c>
      <c r="S529" t="s">
        <v>1108</v>
      </c>
      <c r="T529">
        <v>-2792374967</v>
      </c>
      <c r="U529" t="s">
        <v>34</v>
      </c>
      <c r="V529" t="s">
        <v>2478</v>
      </c>
      <c r="W529" s="1">
        <v>2023</v>
      </c>
    </row>
    <row r="530" spans="1:23" x14ac:dyDescent="0.25">
      <c r="A530" t="s">
        <v>2400</v>
      </c>
      <c r="B530" s="1">
        <v>45841</v>
      </c>
      <c r="C530" t="s">
        <v>1761</v>
      </c>
      <c r="D530" t="s">
        <v>579</v>
      </c>
      <c r="E530" t="s">
        <v>24</v>
      </c>
      <c r="F530">
        <v>22.52</v>
      </c>
      <c r="G530" t="s">
        <v>47</v>
      </c>
      <c r="H530">
        <v>106.4147</v>
      </c>
      <c r="I530">
        <v>-175993.51</v>
      </c>
      <c r="J530" t="s">
        <v>102</v>
      </c>
      <c r="K530">
        <v>7116872960</v>
      </c>
      <c r="L530" t="s">
        <v>150</v>
      </c>
      <c r="M530" t="s">
        <v>87</v>
      </c>
      <c r="N530" t="s">
        <v>88</v>
      </c>
      <c r="O530" t="s">
        <v>42</v>
      </c>
      <c r="P530" t="s">
        <v>107</v>
      </c>
      <c r="Q530">
        <v>994550</v>
      </c>
      <c r="R530" t="s">
        <v>2401</v>
      </c>
      <c r="S530" t="s">
        <v>580</v>
      </c>
      <c r="T530">
        <v>-2336358693</v>
      </c>
      <c r="U530" t="s">
        <v>34</v>
      </c>
      <c r="V530" t="s">
        <v>2474</v>
      </c>
      <c r="W530" s="1">
        <v>45108</v>
      </c>
    </row>
    <row r="531" spans="1:23" x14ac:dyDescent="0.25">
      <c r="A531" t="s">
        <v>2402</v>
      </c>
      <c r="B531" s="1">
        <v>45301</v>
      </c>
      <c r="C531" t="s">
        <v>2022</v>
      </c>
      <c r="D531" t="s">
        <v>541</v>
      </c>
      <c r="E531" t="s">
        <v>24</v>
      </c>
      <c r="F531">
        <v>243.17</v>
      </c>
      <c r="G531" t="s">
        <v>66</v>
      </c>
      <c r="H531">
        <v>1</v>
      </c>
      <c r="I531">
        <v>-1214548.28</v>
      </c>
      <c r="J531" t="s">
        <v>86</v>
      </c>
      <c r="K531">
        <v>6178640858</v>
      </c>
      <c r="L531" t="s">
        <v>181</v>
      </c>
      <c r="M531" t="s">
        <v>40</v>
      </c>
      <c r="N531" t="s">
        <v>139</v>
      </c>
      <c r="O531" t="s">
        <v>30</v>
      </c>
      <c r="P531" t="s">
        <v>75</v>
      </c>
      <c r="Q531">
        <v>444146</v>
      </c>
      <c r="R531" t="s">
        <v>2403</v>
      </c>
      <c r="S531" t="s">
        <v>1447</v>
      </c>
      <c r="T531">
        <v>3413418809</v>
      </c>
      <c r="U531" t="s">
        <v>34</v>
      </c>
      <c r="V531" t="s">
        <v>2475</v>
      </c>
      <c r="W531" s="1">
        <v>44958</v>
      </c>
    </row>
    <row r="532" spans="1:23" x14ac:dyDescent="0.25">
      <c r="A532" t="s">
        <v>2404</v>
      </c>
      <c r="B532" s="1">
        <v>45385</v>
      </c>
      <c r="C532" t="s">
        <v>1308</v>
      </c>
      <c r="D532" t="s">
        <v>2405</v>
      </c>
      <c r="E532" t="s">
        <v>24</v>
      </c>
      <c r="F532">
        <v>31.1</v>
      </c>
      <c r="G532" t="s">
        <v>56</v>
      </c>
      <c r="H532">
        <v>21.733699999999999</v>
      </c>
      <c r="I532">
        <v>-1625277.58</v>
      </c>
      <c r="J532" t="s">
        <v>38</v>
      </c>
      <c r="K532">
        <v>5506671727</v>
      </c>
      <c r="L532" t="s">
        <v>39</v>
      </c>
      <c r="M532" t="s">
        <v>87</v>
      </c>
      <c r="N532" t="s">
        <v>151</v>
      </c>
      <c r="O532" t="s">
        <v>100</v>
      </c>
      <c r="P532" t="s">
        <v>153</v>
      </c>
      <c r="Q532">
        <v>325051</v>
      </c>
      <c r="R532" t="s">
        <v>2406</v>
      </c>
      <c r="S532" t="s">
        <v>1011</v>
      </c>
      <c r="T532">
        <v>-1385739975</v>
      </c>
      <c r="U532" t="s">
        <v>34</v>
      </c>
      <c r="V532" t="s">
        <v>2477</v>
      </c>
      <c r="W532" s="1">
        <v>45627</v>
      </c>
    </row>
    <row r="533" spans="1:23" x14ac:dyDescent="0.25">
      <c r="A533" t="s">
        <v>2407</v>
      </c>
      <c r="B533" s="1">
        <v>45514</v>
      </c>
      <c r="C533" t="s">
        <v>2408</v>
      </c>
      <c r="D533" t="s">
        <v>367</v>
      </c>
      <c r="E533" t="s">
        <v>24</v>
      </c>
      <c r="F533">
        <v>9</v>
      </c>
      <c r="G533" t="s">
        <v>61</v>
      </c>
      <c r="H533">
        <v>72.350700000000003</v>
      </c>
      <c r="I533">
        <v>-1271043.8899999999</v>
      </c>
      <c r="J533" t="s">
        <v>26</v>
      </c>
      <c r="K533">
        <v>3827888047</v>
      </c>
      <c r="L533" t="s">
        <v>27</v>
      </c>
      <c r="M533" t="s">
        <v>87</v>
      </c>
      <c r="N533" t="s">
        <v>88</v>
      </c>
      <c r="O533" t="s">
        <v>42</v>
      </c>
      <c r="P533" t="s">
        <v>107</v>
      </c>
      <c r="Q533">
        <v>831763</v>
      </c>
      <c r="R533">
        <v>4033590000000000</v>
      </c>
      <c r="S533" t="s">
        <v>1216</v>
      </c>
      <c r="T533">
        <v>6845729977</v>
      </c>
      <c r="U533" t="s">
        <v>173</v>
      </c>
      <c r="V533" t="s">
        <v>2472</v>
      </c>
      <c r="W533" s="1">
        <v>42309</v>
      </c>
    </row>
    <row r="534" spans="1:23" x14ac:dyDescent="0.25">
      <c r="A534" t="s">
        <v>2409</v>
      </c>
      <c r="B534" s="1">
        <v>45637</v>
      </c>
      <c r="C534" t="s">
        <v>2410</v>
      </c>
      <c r="D534" t="s">
        <v>464</v>
      </c>
      <c r="E534" t="s">
        <v>24</v>
      </c>
      <c r="F534">
        <v>26.15</v>
      </c>
      <c r="G534" t="s">
        <v>56</v>
      </c>
      <c r="H534">
        <v>19.741700000000002</v>
      </c>
      <c r="I534">
        <v>-2308564.9700000002</v>
      </c>
      <c r="J534" t="s">
        <v>91</v>
      </c>
      <c r="K534">
        <v>-5309943878</v>
      </c>
      <c r="L534" t="s">
        <v>92</v>
      </c>
      <c r="M534" t="s">
        <v>50</v>
      </c>
      <c r="N534" t="s">
        <v>51</v>
      </c>
      <c r="O534" t="s">
        <v>30</v>
      </c>
      <c r="P534" t="s">
        <v>31</v>
      </c>
      <c r="Q534">
        <v>802128</v>
      </c>
      <c r="R534" t="s">
        <v>2411</v>
      </c>
      <c r="S534" t="s">
        <v>1864</v>
      </c>
      <c r="T534">
        <v>-529928323</v>
      </c>
      <c r="U534" t="s">
        <v>34</v>
      </c>
      <c r="V534" t="s">
        <v>2474</v>
      </c>
      <c r="W534" s="1">
        <v>2017</v>
      </c>
    </row>
    <row r="535" spans="1:23" x14ac:dyDescent="0.25">
      <c r="A535" t="s">
        <v>2412</v>
      </c>
      <c r="B535" s="1">
        <v>45878</v>
      </c>
      <c r="C535" t="s">
        <v>1531</v>
      </c>
      <c r="D535" t="s">
        <v>949</v>
      </c>
      <c r="E535" t="s">
        <v>24</v>
      </c>
      <c r="F535">
        <v>25.56</v>
      </c>
      <c r="G535" t="s">
        <v>66</v>
      </c>
      <c r="H535">
        <v>1</v>
      </c>
      <c r="I535">
        <v>-1774545.02</v>
      </c>
      <c r="J535" t="s">
        <v>96</v>
      </c>
      <c r="K535">
        <v>-65135632</v>
      </c>
      <c r="L535" t="s">
        <v>97</v>
      </c>
      <c r="M535" t="s">
        <v>83</v>
      </c>
      <c r="N535" t="s">
        <v>84</v>
      </c>
      <c r="O535" t="s">
        <v>100</v>
      </c>
      <c r="P535" t="s">
        <v>93</v>
      </c>
      <c r="Q535">
        <v>807553</v>
      </c>
      <c r="R535">
        <v>4281420000000000</v>
      </c>
      <c r="S535" t="s">
        <v>1688</v>
      </c>
      <c r="T535">
        <v>-8167968680</v>
      </c>
      <c r="U535" t="s">
        <v>385</v>
      </c>
      <c r="V535" t="s">
        <v>2474</v>
      </c>
      <c r="W535" s="1">
        <v>2024</v>
      </c>
    </row>
    <row r="536" spans="1:23" x14ac:dyDescent="0.25">
      <c r="A536" t="s">
        <v>2209</v>
      </c>
      <c r="B536" s="1">
        <v>45999</v>
      </c>
      <c r="C536" t="s">
        <v>2210</v>
      </c>
      <c r="D536" t="s">
        <v>386</v>
      </c>
      <c r="E536" t="s">
        <v>73</v>
      </c>
      <c r="F536">
        <v>33.369999999999997</v>
      </c>
      <c r="G536" t="s">
        <v>56</v>
      </c>
      <c r="H536">
        <v>21.107800000000001</v>
      </c>
      <c r="I536">
        <v>-1162827.51</v>
      </c>
      <c r="J536" t="s">
        <v>96</v>
      </c>
      <c r="K536">
        <v>9342828972</v>
      </c>
      <c r="L536" t="s">
        <v>97</v>
      </c>
      <c r="M536" t="s">
        <v>87</v>
      </c>
      <c r="N536" t="s">
        <v>151</v>
      </c>
      <c r="O536" t="s">
        <v>100</v>
      </c>
      <c r="P536" t="s">
        <v>43</v>
      </c>
      <c r="Q536">
        <v>920223</v>
      </c>
      <c r="R536" t="s">
        <v>2211</v>
      </c>
      <c r="S536" t="s">
        <v>2212</v>
      </c>
      <c r="T536">
        <v>18065266</v>
      </c>
      <c r="U536" t="s">
        <v>34</v>
      </c>
      <c r="V536" t="s">
        <v>2476</v>
      </c>
      <c r="W536" s="1">
        <v>44713</v>
      </c>
    </row>
    <row r="537" spans="1:23" x14ac:dyDescent="0.25">
      <c r="A537" t="s">
        <v>2413</v>
      </c>
      <c r="B537" s="1">
        <v>45474</v>
      </c>
      <c r="C537" t="s">
        <v>1018</v>
      </c>
      <c r="D537" t="s">
        <v>397</v>
      </c>
      <c r="E537" t="s">
        <v>73</v>
      </c>
      <c r="F537">
        <v>33.47</v>
      </c>
      <c r="G537" t="s">
        <v>61</v>
      </c>
      <c r="H537">
        <v>75.520099999999999</v>
      </c>
      <c r="I537">
        <v>-2624683.61</v>
      </c>
      <c r="J537" t="s">
        <v>91</v>
      </c>
      <c r="K537">
        <v>898686132</v>
      </c>
      <c r="L537" t="s">
        <v>92</v>
      </c>
      <c r="M537" t="s">
        <v>147</v>
      </c>
      <c r="N537" t="s">
        <v>155</v>
      </c>
      <c r="O537" t="s">
        <v>79</v>
      </c>
      <c r="P537" t="s">
        <v>75</v>
      </c>
      <c r="Q537">
        <v>195660</v>
      </c>
      <c r="R537" t="s">
        <v>1532</v>
      </c>
      <c r="S537" t="s">
        <v>734</v>
      </c>
      <c r="T537">
        <v>3891327919</v>
      </c>
      <c r="U537" t="s">
        <v>34</v>
      </c>
      <c r="V537" t="s">
        <v>2472</v>
      </c>
      <c r="W537" s="1">
        <v>2015</v>
      </c>
    </row>
    <row r="538" spans="1:23" x14ac:dyDescent="0.25">
      <c r="A538" t="s">
        <v>2414</v>
      </c>
      <c r="B538" s="1">
        <v>45847</v>
      </c>
      <c r="C538" t="s">
        <v>2415</v>
      </c>
      <c r="D538" t="s">
        <v>980</v>
      </c>
      <c r="E538" t="s">
        <v>55</v>
      </c>
      <c r="F538">
        <v>17.78</v>
      </c>
      <c r="G538" t="s">
        <v>66</v>
      </c>
      <c r="H538">
        <v>1</v>
      </c>
      <c r="I538">
        <v>-2582788.7200000002</v>
      </c>
      <c r="J538" t="s">
        <v>91</v>
      </c>
      <c r="K538">
        <v>5488679891</v>
      </c>
      <c r="L538" t="s">
        <v>92</v>
      </c>
      <c r="M538" t="s">
        <v>83</v>
      </c>
      <c r="N538" t="s">
        <v>84</v>
      </c>
      <c r="O538" t="s">
        <v>52</v>
      </c>
      <c r="P538" t="s">
        <v>75</v>
      </c>
      <c r="Q538">
        <v>364579</v>
      </c>
      <c r="R538" t="s">
        <v>2416</v>
      </c>
      <c r="S538" t="s">
        <v>981</v>
      </c>
      <c r="T538">
        <v>-4110129577</v>
      </c>
      <c r="U538" t="s">
        <v>34</v>
      </c>
      <c r="V538" t="s">
        <v>2474</v>
      </c>
      <c r="W538" s="1">
        <v>44647</v>
      </c>
    </row>
    <row r="539" spans="1:23" x14ac:dyDescent="0.25">
      <c r="A539" t="s">
        <v>2417</v>
      </c>
      <c r="B539" s="1">
        <v>45301</v>
      </c>
      <c r="C539" t="s">
        <v>2418</v>
      </c>
      <c r="D539" t="s">
        <v>204</v>
      </c>
      <c r="E539" t="s">
        <v>73</v>
      </c>
      <c r="F539">
        <v>23.87</v>
      </c>
      <c r="G539" t="s">
        <v>61</v>
      </c>
      <c r="H539">
        <v>78.070099999999996</v>
      </c>
      <c r="I539">
        <v>-281953.03000000003</v>
      </c>
      <c r="J539" t="s">
        <v>96</v>
      </c>
      <c r="K539">
        <v>7407949554</v>
      </c>
      <c r="L539" t="s">
        <v>97</v>
      </c>
      <c r="M539" t="s">
        <v>68</v>
      </c>
      <c r="N539" t="s">
        <v>277</v>
      </c>
      <c r="O539" t="s">
        <v>100</v>
      </c>
      <c r="P539" t="s">
        <v>71</v>
      </c>
      <c r="Q539">
        <v>487627</v>
      </c>
      <c r="R539" t="s">
        <v>2419</v>
      </c>
      <c r="S539" t="s">
        <v>205</v>
      </c>
      <c r="T539">
        <v>1922215748</v>
      </c>
      <c r="U539" t="s">
        <v>34</v>
      </c>
      <c r="V539" t="s">
        <v>2477</v>
      </c>
      <c r="W539" s="1">
        <v>42522</v>
      </c>
    </row>
    <row r="540" spans="1:23" x14ac:dyDescent="0.25">
      <c r="A540" t="s">
        <v>2420</v>
      </c>
      <c r="B540" s="1">
        <v>45360</v>
      </c>
      <c r="C540" t="s">
        <v>1634</v>
      </c>
      <c r="D540" t="s">
        <v>960</v>
      </c>
      <c r="E540" t="s">
        <v>24</v>
      </c>
      <c r="F540">
        <v>3.19</v>
      </c>
      <c r="G540" t="s">
        <v>61</v>
      </c>
      <c r="H540">
        <v>78.072199999999995</v>
      </c>
      <c r="I540">
        <v>-1675746.91</v>
      </c>
      <c r="J540" t="s">
        <v>91</v>
      </c>
      <c r="K540">
        <v>8752273352</v>
      </c>
      <c r="L540" t="s">
        <v>92</v>
      </c>
      <c r="M540" t="s">
        <v>83</v>
      </c>
      <c r="N540" t="s">
        <v>84</v>
      </c>
      <c r="O540" t="s">
        <v>52</v>
      </c>
      <c r="P540" t="s">
        <v>53</v>
      </c>
      <c r="Q540">
        <v>586891</v>
      </c>
      <c r="R540" t="s">
        <v>2146</v>
      </c>
      <c r="S540" t="s">
        <v>1461</v>
      </c>
      <c r="T540">
        <v>2385597721</v>
      </c>
      <c r="U540" t="s">
        <v>34</v>
      </c>
      <c r="V540" t="s">
        <v>2473</v>
      </c>
      <c r="W540" s="1">
        <v>44570</v>
      </c>
    </row>
    <row r="541" spans="1:23" x14ac:dyDescent="0.25">
      <c r="A541" t="s">
        <v>2421</v>
      </c>
      <c r="B541" s="1">
        <v>45598</v>
      </c>
      <c r="C541" t="s">
        <v>1306</v>
      </c>
      <c r="D541" t="s">
        <v>163</v>
      </c>
      <c r="E541" t="s">
        <v>24</v>
      </c>
      <c r="F541">
        <v>55.09</v>
      </c>
      <c r="G541" t="s">
        <v>47</v>
      </c>
      <c r="H541">
        <v>90.806600000000003</v>
      </c>
      <c r="I541">
        <v>-541404.43000000005</v>
      </c>
      <c r="J541" t="s">
        <v>128</v>
      </c>
      <c r="K541">
        <v>4321864664</v>
      </c>
      <c r="L541" t="s">
        <v>129</v>
      </c>
      <c r="M541" t="s">
        <v>50</v>
      </c>
      <c r="N541" t="s">
        <v>51</v>
      </c>
      <c r="O541" t="s">
        <v>52</v>
      </c>
      <c r="P541" t="s">
        <v>107</v>
      </c>
      <c r="Q541">
        <v>617069</v>
      </c>
      <c r="R541" t="s">
        <v>2422</v>
      </c>
      <c r="S541" t="s">
        <v>164</v>
      </c>
      <c r="T541">
        <v>4968357912</v>
      </c>
      <c r="U541" t="s">
        <v>34</v>
      </c>
      <c r="V541" t="s">
        <v>2474</v>
      </c>
      <c r="W541" s="1">
        <v>42186</v>
      </c>
    </row>
    <row r="542" spans="1:23" x14ac:dyDescent="0.25">
      <c r="A542" t="s">
        <v>2423</v>
      </c>
      <c r="B542" s="1">
        <v>45571</v>
      </c>
      <c r="C542" t="s">
        <v>2424</v>
      </c>
      <c r="D542" t="s">
        <v>677</v>
      </c>
      <c r="E542" t="s">
        <v>24</v>
      </c>
      <c r="F542">
        <v>67.510000000000005</v>
      </c>
      <c r="G542" t="s">
        <v>47</v>
      </c>
      <c r="H542">
        <v>103.23050000000001</v>
      </c>
      <c r="I542">
        <v>-1170489.67</v>
      </c>
      <c r="J542" t="s">
        <v>62</v>
      </c>
      <c r="K542">
        <v>7547985162</v>
      </c>
      <c r="L542" t="s">
        <v>131</v>
      </c>
      <c r="M542" t="s">
        <v>121</v>
      </c>
      <c r="N542" t="s">
        <v>122</v>
      </c>
      <c r="O542" t="s">
        <v>79</v>
      </c>
      <c r="P542" t="s">
        <v>153</v>
      </c>
      <c r="Q542">
        <v>349159</v>
      </c>
      <c r="R542" t="s">
        <v>1047</v>
      </c>
      <c r="S542" t="s">
        <v>678</v>
      </c>
      <c r="T542">
        <v>4891266214</v>
      </c>
      <c r="U542" t="s">
        <v>34</v>
      </c>
      <c r="V542" t="s">
        <v>2478</v>
      </c>
      <c r="W542" s="1">
        <v>43348</v>
      </c>
    </row>
    <row r="543" spans="1:23" x14ac:dyDescent="0.25">
      <c r="A543" t="s">
        <v>2426</v>
      </c>
      <c r="B543" s="1">
        <v>45812</v>
      </c>
      <c r="C543" t="s">
        <v>2427</v>
      </c>
      <c r="D543" t="s">
        <v>569</v>
      </c>
      <c r="E543" t="s">
        <v>73</v>
      </c>
      <c r="F543">
        <v>12.02</v>
      </c>
      <c r="G543" t="s">
        <v>61</v>
      </c>
      <c r="H543">
        <v>75.407399999999996</v>
      </c>
      <c r="I543">
        <v>-2452524.31</v>
      </c>
      <c r="J543" t="s">
        <v>91</v>
      </c>
      <c r="K543">
        <v>4150218968</v>
      </c>
      <c r="L543" t="s">
        <v>92</v>
      </c>
      <c r="M543" t="s">
        <v>68</v>
      </c>
      <c r="N543" t="s">
        <v>114</v>
      </c>
      <c r="O543" t="s">
        <v>70</v>
      </c>
      <c r="P543" t="s">
        <v>75</v>
      </c>
      <c r="Q543">
        <v>203479</v>
      </c>
      <c r="R543" t="s">
        <v>2428</v>
      </c>
      <c r="S543" t="s">
        <v>2429</v>
      </c>
      <c r="T543">
        <v>1803759199</v>
      </c>
      <c r="U543" t="s">
        <v>34</v>
      </c>
      <c r="V543" t="s">
        <v>2478</v>
      </c>
      <c r="W543" s="1">
        <v>45139</v>
      </c>
    </row>
    <row r="544" spans="1:23" x14ac:dyDescent="0.25">
      <c r="A544" t="s">
        <v>2430</v>
      </c>
      <c r="B544" s="1">
        <v>45568</v>
      </c>
      <c r="C544" t="s">
        <v>515</v>
      </c>
      <c r="D544" t="s">
        <v>355</v>
      </c>
      <c r="E544" t="s">
        <v>24</v>
      </c>
      <c r="F544">
        <v>9.16</v>
      </c>
      <c r="G544" t="s">
        <v>61</v>
      </c>
      <c r="H544">
        <v>72.164599999999993</v>
      </c>
      <c r="I544">
        <v>-1714301.11</v>
      </c>
      <c r="J544" t="s">
        <v>81</v>
      </c>
      <c r="K544">
        <v>1811496181</v>
      </c>
      <c r="L544" t="s">
        <v>82</v>
      </c>
      <c r="M544" t="s">
        <v>50</v>
      </c>
      <c r="N544" t="s">
        <v>51</v>
      </c>
      <c r="O544" t="s">
        <v>100</v>
      </c>
      <c r="P544" t="s">
        <v>43</v>
      </c>
      <c r="Q544">
        <v>256792</v>
      </c>
      <c r="R544" t="s">
        <v>2431</v>
      </c>
      <c r="S544" t="s">
        <v>2342</v>
      </c>
      <c r="T544">
        <v>4895687945</v>
      </c>
      <c r="U544" t="s">
        <v>34</v>
      </c>
      <c r="V544" t="s">
        <v>2475</v>
      </c>
      <c r="W544" s="1">
        <v>2016</v>
      </c>
    </row>
    <row r="545" spans="1:23" x14ac:dyDescent="0.25">
      <c r="A545" t="s">
        <v>2432</v>
      </c>
      <c r="B545" s="1">
        <v>45753</v>
      </c>
      <c r="C545" t="s">
        <v>1519</v>
      </c>
      <c r="D545" t="s">
        <v>342</v>
      </c>
      <c r="E545" t="s">
        <v>73</v>
      </c>
      <c r="F545">
        <v>34.14</v>
      </c>
      <c r="G545" t="s">
        <v>66</v>
      </c>
      <c r="H545">
        <v>1</v>
      </c>
      <c r="I545">
        <v>-1499722.68</v>
      </c>
      <c r="J545" t="s">
        <v>81</v>
      </c>
      <c r="K545">
        <v>2563844091</v>
      </c>
      <c r="L545" t="s">
        <v>82</v>
      </c>
      <c r="M545" t="s">
        <v>57</v>
      </c>
      <c r="N545" t="s">
        <v>58</v>
      </c>
      <c r="O545" t="s">
        <v>42</v>
      </c>
      <c r="P545" t="s">
        <v>59</v>
      </c>
      <c r="Q545">
        <v>694434</v>
      </c>
      <c r="R545" t="s">
        <v>2433</v>
      </c>
      <c r="S545" t="s">
        <v>408</v>
      </c>
      <c r="T545">
        <v>706802240</v>
      </c>
      <c r="U545" t="s">
        <v>34</v>
      </c>
      <c r="V545" t="s">
        <v>2474</v>
      </c>
      <c r="W545" s="1">
        <v>42856</v>
      </c>
    </row>
    <row r="546" spans="1:23" x14ac:dyDescent="0.25">
      <c r="A546" t="s">
        <v>2434</v>
      </c>
      <c r="B546" s="1">
        <v>45783</v>
      </c>
      <c r="C546" t="s">
        <v>2435</v>
      </c>
      <c r="D546" t="s">
        <v>284</v>
      </c>
      <c r="E546" t="s">
        <v>24</v>
      </c>
      <c r="F546">
        <v>97.99</v>
      </c>
      <c r="G546" t="s">
        <v>66</v>
      </c>
      <c r="H546">
        <v>1</v>
      </c>
      <c r="I546">
        <v>-1985074.11</v>
      </c>
      <c r="J546" t="s">
        <v>96</v>
      </c>
      <c r="K546">
        <v>799741113</v>
      </c>
      <c r="L546" t="s">
        <v>97</v>
      </c>
      <c r="M546" t="s">
        <v>40</v>
      </c>
      <c r="N546" t="s">
        <v>139</v>
      </c>
      <c r="O546" t="s">
        <v>100</v>
      </c>
      <c r="P546" t="s">
        <v>31</v>
      </c>
      <c r="Q546">
        <v>520992</v>
      </c>
      <c r="R546">
        <v>4636170000000000</v>
      </c>
      <c r="S546" t="s">
        <v>302</v>
      </c>
      <c r="T546">
        <v>751584857</v>
      </c>
      <c r="U546" t="s">
        <v>34</v>
      </c>
      <c r="V546" t="s">
        <v>2475</v>
      </c>
      <c r="W546" s="1">
        <v>43556</v>
      </c>
    </row>
    <row r="547" spans="1:23" x14ac:dyDescent="0.25">
      <c r="A547" t="s">
        <v>2436</v>
      </c>
      <c r="B547" s="1">
        <v>45963</v>
      </c>
      <c r="C547" t="s">
        <v>2437</v>
      </c>
      <c r="D547" t="s">
        <v>182</v>
      </c>
      <c r="E547" t="s">
        <v>24</v>
      </c>
      <c r="F547">
        <v>-22.68</v>
      </c>
      <c r="G547" t="s">
        <v>56</v>
      </c>
      <c r="H547">
        <v>20.3568</v>
      </c>
      <c r="I547">
        <v>-2467584.02</v>
      </c>
      <c r="J547" t="s">
        <v>98</v>
      </c>
      <c r="K547">
        <v>1050520245</v>
      </c>
      <c r="L547" t="s">
        <v>99</v>
      </c>
      <c r="M547" t="s">
        <v>87</v>
      </c>
      <c r="N547" t="s">
        <v>151</v>
      </c>
      <c r="O547" t="s">
        <v>52</v>
      </c>
      <c r="P547" t="s">
        <v>153</v>
      </c>
      <c r="Q547">
        <v>464351</v>
      </c>
      <c r="R547" t="s">
        <v>2438</v>
      </c>
      <c r="S547" t="s">
        <v>1028</v>
      </c>
      <c r="T547">
        <v>2787171049</v>
      </c>
      <c r="U547" t="s">
        <v>34</v>
      </c>
      <c r="V547" t="s">
        <v>2473</v>
      </c>
      <c r="W547" s="1">
        <v>42339</v>
      </c>
    </row>
    <row r="548" spans="1:23" x14ac:dyDescent="0.25">
      <c r="A548" t="s">
        <v>2439</v>
      </c>
      <c r="B548" s="1">
        <v>45392</v>
      </c>
      <c r="C548" t="s">
        <v>1592</v>
      </c>
      <c r="D548" t="s">
        <v>157</v>
      </c>
      <c r="E548" t="s">
        <v>24</v>
      </c>
      <c r="F548">
        <v>38.74</v>
      </c>
      <c r="G548" t="s">
        <v>66</v>
      </c>
      <c r="H548">
        <v>1</v>
      </c>
      <c r="I548">
        <v>-174233.49</v>
      </c>
      <c r="J548" t="s">
        <v>98</v>
      </c>
      <c r="K548">
        <v>8492286479</v>
      </c>
      <c r="L548" t="s">
        <v>99</v>
      </c>
      <c r="M548" t="s">
        <v>77</v>
      </c>
      <c r="N548" t="s">
        <v>307</v>
      </c>
      <c r="O548" t="s">
        <v>70</v>
      </c>
      <c r="P548" t="s">
        <v>75</v>
      </c>
      <c r="Q548">
        <v>430998</v>
      </c>
      <c r="R548" t="s">
        <v>2440</v>
      </c>
      <c r="S548" t="s">
        <v>547</v>
      </c>
      <c r="T548">
        <v>3561045137</v>
      </c>
      <c r="U548" t="s">
        <v>34</v>
      </c>
      <c r="V548" t="s">
        <v>2474</v>
      </c>
      <c r="W548" s="1">
        <v>45302</v>
      </c>
    </row>
    <row r="549" spans="1:23" x14ac:dyDescent="0.25">
      <c r="A549" t="s">
        <v>2441</v>
      </c>
      <c r="B549" s="1">
        <v>45566</v>
      </c>
      <c r="C549" t="s">
        <v>2311</v>
      </c>
      <c r="D549" t="s">
        <v>143</v>
      </c>
      <c r="E549" t="s">
        <v>24</v>
      </c>
      <c r="F549">
        <v>13.77</v>
      </c>
      <c r="G549" t="s">
        <v>61</v>
      </c>
      <c r="H549">
        <v>73.589699999999993</v>
      </c>
      <c r="I549">
        <v>-1639894.75</v>
      </c>
      <c r="J549" t="s">
        <v>91</v>
      </c>
      <c r="K549">
        <v>990529935</v>
      </c>
      <c r="L549" t="s">
        <v>92</v>
      </c>
      <c r="M549" t="s">
        <v>87</v>
      </c>
      <c r="N549" t="s">
        <v>151</v>
      </c>
      <c r="O549" t="s">
        <v>70</v>
      </c>
      <c r="P549" t="s">
        <v>93</v>
      </c>
      <c r="Q549">
        <v>789210</v>
      </c>
      <c r="R549" t="s">
        <v>2442</v>
      </c>
      <c r="S549" t="s">
        <v>145</v>
      </c>
      <c r="T549">
        <v>5353604317</v>
      </c>
      <c r="U549" t="s">
        <v>34</v>
      </c>
      <c r="V549" t="s">
        <v>2472</v>
      </c>
      <c r="W549" s="1">
        <v>2022</v>
      </c>
    </row>
    <row r="550" spans="1:23" x14ac:dyDescent="0.25">
      <c r="A550" t="s">
        <v>2443</v>
      </c>
      <c r="B550" s="1">
        <v>45240</v>
      </c>
      <c r="C550" t="s">
        <v>2166</v>
      </c>
      <c r="D550" t="s">
        <v>661</v>
      </c>
      <c r="E550" t="s">
        <v>73</v>
      </c>
      <c r="F550">
        <v>65.819999999999993</v>
      </c>
      <c r="G550" t="s">
        <v>61</v>
      </c>
      <c r="H550">
        <v>76.959900000000005</v>
      </c>
      <c r="I550">
        <v>-1675983.31</v>
      </c>
      <c r="J550" t="s">
        <v>98</v>
      </c>
      <c r="K550">
        <v>9549561403</v>
      </c>
      <c r="L550" t="s">
        <v>99</v>
      </c>
      <c r="M550" t="s">
        <v>57</v>
      </c>
      <c r="N550" t="s">
        <v>63</v>
      </c>
      <c r="O550" t="s">
        <v>100</v>
      </c>
      <c r="P550" t="s">
        <v>107</v>
      </c>
      <c r="Q550">
        <v>781009</v>
      </c>
      <c r="R550">
        <v>4148720000000000</v>
      </c>
      <c r="S550" t="s">
        <v>842</v>
      </c>
      <c r="T550">
        <v>793879655</v>
      </c>
      <c r="U550" t="s">
        <v>34</v>
      </c>
      <c r="V550" t="s">
        <v>2475</v>
      </c>
      <c r="W550" s="1">
        <v>45779</v>
      </c>
    </row>
    <row r="551" spans="1:23" x14ac:dyDescent="0.25">
      <c r="A551" t="s">
        <v>2444</v>
      </c>
      <c r="B551" s="1">
        <v>45659</v>
      </c>
      <c r="C551" t="s">
        <v>2445</v>
      </c>
      <c r="D551" t="s">
        <v>390</v>
      </c>
      <c r="E551" t="s">
        <v>24</v>
      </c>
      <c r="F551">
        <v>155.35</v>
      </c>
      <c r="G551" t="s">
        <v>56</v>
      </c>
      <c r="H551">
        <v>21.086200000000002</v>
      </c>
      <c r="I551">
        <v>-2625196.2799999998</v>
      </c>
      <c r="J551" t="s">
        <v>81</v>
      </c>
      <c r="K551">
        <v>8817512857</v>
      </c>
      <c r="L551" t="s">
        <v>82</v>
      </c>
      <c r="M551" t="s">
        <v>83</v>
      </c>
      <c r="N551" t="s">
        <v>84</v>
      </c>
      <c r="O551" t="s">
        <v>100</v>
      </c>
      <c r="P551" t="s">
        <v>93</v>
      </c>
      <c r="Q551">
        <v>592856</v>
      </c>
      <c r="R551" t="s">
        <v>2446</v>
      </c>
      <c r="S551" t="s">
        <v>391</v>
      </c>
      <c r="T551">
        <v>2221893645</v>
      </c>
      <c r="U551" t="s">
        <v>34</v>
      </c>
      <c r="V551" t="s">
        <v>2477</v>
      </c>
      <c r="W551" s="1">
        <v>42431</v>
      </c>
    </row>
    <row r="552" spans="1:23" x14ac:dyDescent="0.25">
      <c r="A552" t="s">
        <v>2447</v>
      </c>
      <c r="B552" s="1">
        <v>45295</v>
      </c>
      <c r="C552" t="s">
        <v>2448</v>
      </c>
      <c r="D552" t="s">
        <v>574</v>
      </c>
      <c r="E552" t="s">
        <v>73</v>
      </c>
      <c r="F552">
        <v>100.1</v>
      </c>
      <c r="G552" t="s">
        <v>47</v>
      </c>
      <c r="H552">
        <v>98.823999999999998</v>
      </c>
      <c r="I552">
        <v>-1527320.1</v>
      </c>
      <c r="J552" t="s">
        <v>74</v>
      </c>
      <c r="K552">
        <v>-849868673</v>
      </c>
      <c r="L552" t="s">
        <v>105</v>
      </c>
      <c r="M552" t="s">
        <v>87</v>
      </c>
      <c r="N552" t="s">
        <v>151</v>
      </c>
      <c r="O552" t="s">
        <v>52</v>
      </c>
      <c r="P552" t="s">
        <v>71</v>
      </c>
      <c r="Q552">
        <v>110180</v>
      </c>
      <c r="R552" t="s">
        <v>697</v>
      </c>
      <c r="S552" t="s">
        <v>756</v>
      </c>
      <c r="T552">
        <v>-6754927087</v>
      </c>
      <c r="U552" t="s">
        <v>34</v>
      </c>
      <c r="V552" t="s">
        <v>2472</v>
      </c>
      <c r="W552" s="1">
        <v>43286</v>
      </c>
    </row>
    <row r="553" spans="1:23" x14ac:dyDescent="0.25">
      <c r="A553" t="s">
        <v>2449</v>
      </c>
      <c r="B553" s="1">
        <v>45638</v>
      </c>
      <c r="C553" t="s">
        <v>2078</v>
      </c>
      <c r="D553" t="s">
        <v>300</v>
      </c>
      <c r="E553" t="s">
        <v>55</v>
      </c>
      <c r="F553">
        <v>240.8</v>
      </c>
      <c r="G553" t="s">
        <v>66</v>
      </c>
      <c r="H553">
        <v>1</v>
      </c>
      <c r="I553">
        <v>-2935567.58</v>
      </c>
      <c r="J553" t="s">
        <v>62</v>
      </c>
      <c r="K553">
        <v>-3914961183</v>
      </c>
      <c r="L553" t="s">
        <v>131</v>
      </c>
      <c r="M553" t="s">
        <v>40</v>
      </c>
      <c r="N553" t="s">
        <v>106</v>
      </c>
      <c r="O553" t="s">
        <v>42</v>
      </c>
      <c r="P553" t="s">
        <v>43</v>
      </c>
      <c r="Q553">
        <v>381647</v>
      </c>
      <c r="R553" t="s">
        <v>272</v>
      </c>
      <c r="S553" t="s">
        <v>301</v>
      </c>
      <c r="T553">
        <v>3585568958</v>
      </c>
      <c r="U553" t="s">
        <v>34</v>
      </c>
      <c r="V553" t="s">
        <v>2474</v>
      </c>
      <c r="W553" s="1">
        <v>42740</v>
      </c>
    </row>
    <row r="554" spans="1:23" x14ac:dyDescent="0.25">
      <c r="A554" t="s">
        <v>2450</v>
      </c>
      <c r="B554" s="1">
        <v>45447</v>
      </c>
      <c r="C554" t="s">
        <v>1315</v>
      </c>
      <c r="D554" t="s">
        <v>817</v>
      </c>
      <c r="E554" t="s">
        <v>55</v>
      </c>
      <c r="F554">
        <v>8.5299999999999994</v>
      </c>
      <c r="G554" t="s">
        <v>66</v>
      </c>
      <c r="H554">
        <v>1</v>
      </c>
      <c r="I554">
        <v>-1617070.14</v>
      </c>
      <c r="J554" t="s">
        <v>102</v>
      </c>
      <c r="K554">
        <v>8915588330</v>
      </c>
      <c r="L554" t="s">
        <v>150</v>
      </c>
      <c r="M554" t="s">
        <v>77</v>
      </c>
      <c r="N554" t="s">
        <v>78</v>
      </c>
      <c r="O554" t="s">
        <v>79</v>
      </c>
      <c r="P554" t="s">
        <v>31</v>
      </c>
      <c r="Q554">
        <v>881340</v>
      </c>
      <c r="R554" t="s">
        <v>2451</v>
      </c>
      <c r="S554" t="s">
        <v>1958</v>
      </c>
      <c r="T554">
        <v>-5562426883</v>
      </c>
      <c r="U554" t="s">
        <v>34</v>
      </c>
      <c r="V554" t="s">
        <v>2477</v>
      </c>
      <c r="W554" s="1">
        <v>2018</v>
      </c>
    </row>
    <row r="555" spans="1:23" x14ac:dyDescent="0.25">
      <c r="A555" t="s">
        <v>2453</v>
      </c>
      <c r="B555" s="1">
        <v>44996</v>
      </c>
      <c r="C555" t="s">
        <v>806</v>
      </c>
      <c r="D555" t="s">
        <v>346</v>
      </c>
      <c r="E555" t="s">
        <v>24</v>
      </c>
      <c r="F555">
        <v>180.73</v>
      </c>
      <c r="G555" t="s">
        <v>66</v>
      </c>
      <c r="H555">
        <v>1</v>
      </c>
      <c r="I555">
        <v>-2583217.11</v>
      </c>
      <c r="J555" t="s">
        <v>74</v>
      </c>
      <c r="K555">
        <v>2383069553</v>
      </c>
      <c r="L555" t="s">
        <v>105</v>
      </c>
      <c r="M555" t="s">
        <v>28</v>
      </c>
      <c r="N555" t="s">
        <v>119</v>
      </c>
      <c r="O555" t="s">
        <v>79</v>
      </c>
      <c r="P555" t="s">
        <v>43</v>
      </c>
      <c r="Q555">
        <v>909423</v>
      </c>
      <c r="R555" t="s">
        <v>2425</v>
      </c>
      <c r="S555" t="s">
        <v>1001</v>
      </c>
      <c r="T555">
        <v>7562452206</v>
      </c>
      <c r="U555" t="s">
        <v>34</v>
      </c>
      <c r="V555" t="s">
        <v>2475</v>
      </c>
      <c r="W555" s="1">
        <v>44180</v>
      </c>
    </row>
    <row r="556" spans="1:23" x14ac:dyDescent="0.25">
      <c r="A556" t="s">
        <v>2454</v>
      </c>
      <c r="B556" s="1">
        <v>45842</v>
      </c>
      <c r="C556" t="s">
        <v>2455</v>
      </c>
      <c r="D556" t="s">
        <v>636</v>
      </c>
      <c r="E556" t="s">
        <v>24</v>
      </c>
      <c r="F556">
        <v>12.34</v>
      </c>
      <c r="G556" t="s">
        <v>61</v>
      </c>
      <c r="H556">
        <v>73.141499999999994</v>
      </c>
      <c r="I556">
        <v>-1198803.46</v>
      </c>
      <c r="J556" t="s">
        <v>86</v>
      </c>
      <c r="K556">
        <v>-5974499641</v>
      </c>
      <c r="L556" t="s">
        <v>181</v>
      </c>
      <c r="M556" t="s">
        <v>147</v>
      </c>
      <c r="N556" t="s">
        <v>148</v>
      </c>
      <c r="O556" t="s">
        <v>100</v>
      </c>
      <c r="P556" t="s">
        <v>153</v>
      </c>
      <c r="Q556">
        <v>265756</v>
      </c>
      <c r="R556" t="s">
        <v>2456</v>
      </c>
      <c r="S556" t="s">
        <v>1621</v>
      </c>
      <c r="T556">
        <v>6206725172</v>
      </c>
      <c r="U556" t="s">
        <v>34</v>
      </c>
      <c r="V556" t="s">
        <v>2474</v>
      </c>
      <c r="W556" s="1">
        <v>2022</v>
      </c>
    </row>
    <row r="557" spans="1:23" x14ac:dyDescent="0.25">
      <c r="A557" t="s">
        <v>2457</v>
      </c>
      <c r="B557" s="1">
        <v>45637</v>
      </c>
      <c r="C557" t="s">
        <v>2114</v>
      </c>
      <c r="D557" t="s">
        <v>802</v>
      </c>
      <c r="E557" t="s">
        <v>55</v>
      </c>
      <c r="F557">
        <v>4.5</v>
      </c>
      <c r="G557" t="s">
        <v>66</v>
      </c>
      <c r="H557">
        <v>1</v>
      </c>
      <c r="I557">
        <v>-1150850.78</v>
      </c>
      <c r="J557" t="s">
        <v>91</v>
      </c>
      <c r="K557">
        <v>-5207232974</v>
      </c>
      <c r="L557" t="s">
        <v>92</v>
      </c>
      <c r="M557" t="s">
        <v>28</v>
      </c>
      <c r="N557" t="s">
        <v>119</v>
      </c>
      <c r="O557" t="s">
        <v>42</v>
      </c>
      <c r="P557" t="s">
        <v>71</v>
      </c>
      <c r="Q557">
        <v>867876</v>
      </c>
      <c r="R557" t="s">
        <v>2458</v>
      </c>
      <c r="S557" t="s">
        <v>1637</v>
      </c>
      <c r="T557">
        <v>2067361681</v>
      </c>
      <c r="U557" t="s">
        <v>34</v>
      </c>
      <c r="V557" t="s">
        <v>2474</v>
      </c>
      <c r="W557" s="1">
        <v>43231</v>
      </c>
    </row>
    <row r="558" spans="1:23" x14ac:dyDescent="0.25">
      <c r="A558" t="s">
        <v>2459</v>
      </c>
      <c r="B558" s="1">
        <v>45148</v>
      </c>
      <c r="C558" t="s">
        <v>2460</v>
      </c>
      <c r="D558" t="s">
        <v>37</v>
      </c>
      <c r="E558" t="s">
        <v>73</v>
      </c>
      <c r="F558">
        <v>3.47</v>
      </c>
      <c r="G558" t="s">
        <v>56</v>
      </c>
      <c r="H558">
        <v>18.721699999999998</v>
      </c>
      <c r="I558">
        <v>-1713232.63</v>
      </c>
      <c r="J558" t="s">
        <v>98</v>
      </c>
      <c r="K558">
        <v>5717700381</v>
      </c>
      <c r="L558" t="s">
        <v>99</v>
      </c>
      <c r="M558" t="s">
        <v>77</v>
      </c>
      <c r="N558" t="s">
        <v>78</v>
      </c>
      <c r="O558" t="s">
        <v>42</v>
      </c>
      <c r="P558" t="s">
        <v>31</v>
      </c>
      <c r="Q558">
        <v>149100</v>
      </c>
      <c r="R558" t="s">
        <v>2452</v>
      </c>
      <c r="S558" t="s">
        <v>1836</v>
      </c>
      <c r="T558">
        <v>4451939954</v>
      </c>
      <c r="U558" t="s">
        <v>34</v>
      </c>
      <c r="V558" t="s">
        <v>2476</v>
      </c>
      <c r="W558" s="1">
        <v>2019</v>
      </c>
    </row>
    <row r="559" spans="1:23" x14ac:dyDescent="0.25">
      <c r="A559" t="s">
        <v>2461</v>
      </c>
      <c r="B559" s="1">
        <v>45087</v>
      </c>
      <c r="C559" t="s">
        <v>2462</v>
      </c>
      <c r="D559" t="s">
        <v>296</v>
      </c>
      <c r="E559" t="s">
        <v>73</v>
      </c>
      <c r="F559">
        <v>43.84</v>
      </c>
      <c r="G559" t="s">
        <v>61</v>
      </c>
      <c r="H559">
        <v>79.190200000000004</v>
      </c>
      <c r="I559">
        <v>-595160.48</v>
      </c>
      <c r="J559" t="s">
        <v>98</v>
      </c>
      <c r="K559">
        <v>1225457903</v>
      </c>
      <c r="L559" t="s">
        <v>99</v>
      </c>
      <c r="M559" t="s">
        <v>68</v>
      </c>
      <c r="N559" t="s">
        <v>69</v>
      </c>
      <c r="O559" t="s">
        <v>30</v>
      </c>
      <c r="P559" t="s">
        <v>71</v>
      </c>
      <c r="Q559">
        <v>102056</v>
      </c>
      <c r="R559" t="s">
        <v>1090</v>
      </c>
      <c r="S559" t="s">
        <v>526</v>
      </c>
      <c r="T559">
        <v>1321545433</v>
      </c>
      <c r="U559" t="s">
        <v>34</v>
      </c>
      <c r="V559" t="s">
        <v>2474</v>
      </c>
      <c r="W559" s="1">
        <v>44018</v>
      </c>
    </row>
    <row r="560" spans="1:23" x14ac:dyDescent="0.25">
      <c r="A560" t="s">
        <v>2463</v>
      </c>
      <c r="B560" s="1">
        <v>45696</v>
      </c>
      <c r="C560" t="s">
        <v>2464</v>
      </c>
      <c r="D560" t="s">
        <v>699</v>
      </c>
      <c r="E560" t="s">
        <v>73</v>
      </c>
      <c r="F560">
        <v>137.11000000000001</v>
      </c>
      <c r="G560" t="s">
        <v>66</v>
      </c>
      <c r="H560">
        <v>1</v>
      </c>
      <c r="I560">
        <v>-2783792.65</v>
      </c>
      <c r="J560" t="s">
        <v>62</v>
      </c>
      <c r="K560">
        <v>-7199053964</v>
      </c>
      <c r="L560" t="s">
        <v>131</v>
      </c>
      <c r="M560" t="s">
        <v>147</v>
      </c>
      <c r="N560" t="s">
        <v>148</v>
      </c>
      <c r="O560" t="s">
        <v>79</v>
      </c>
      <c r="P560" t="s">
        <v>93</v>
      </c>
      <c r="Q560">
        <v>626490</v>
      </c>
      <c r="R560" t="s">
        <v>2465</v>
      </c>
      <c r="S560" t="s">
        <v>2189</v>
      </c>
      <c r="T560">
        <v>-9981343320</v>
      </c>
      <c r="U560" t="s">
        <v>34</v>
      </c>
      <c r="V560" t="s">
        <v>2477</v>
      </c>
      <c r="W560" s="1">
        <v>2020</v>
      </c>
    </row>
    <row r="561" spans="1:23" x14ac:dyDescent="0.25">
      <c r="A561" t="s">
        <v>2466</v>
      </c>
      <c r="B561" s="1">
        <v>45779</v>
      </c>
      <c r="C561" t="s">
        <v>2467</v>
      </c>
      <c r="D561" t="s">
        <v>441</v>
      </c>
      <c r="E561" t="s">
        <v>73</v>
      </c>
      <c r="F561">
        <v>14.17</v>
      </c>
      <c r="G561" t="s">
        <v>66</v>
      </c>
      <c r="H561">
        <v>1</v>
      </c>
      <c r="I561">
        <v>-174002.66</v>
      </c>
      <c r="J561" t="s">
        <v>116</v>
      </c>
      <c r="K561">
        <v>3202556027</v>
      </c>
      <c r="L561" t="s">
        <v>134</v>
      </c>
      <c r="M561" t="s">
        <v>87</v>
      </c>
      <c r="N561" t="s">
        <v>151</v>
      </c>
      <c r="O561" t="s">
        <v>100</v>
      </c>
      <c r="P561" t="s">
        <v>107</v>
      </c>
      <c r="Q561">
        <v>571488</v>
      </c>
      <c r="R561" t="s">
        <v>1720</v>
      </c>
      <c r="S561" t="s">
        <v>2468</v>
      </c>
      <c r="T561">
        <v>-4218205669</v>
      </c>
      <c r="U561" t="s">
        <v>34</v>
      </c>
      <c r="V561" t="s">
        <v>2475</v>
      </c>
      <c r="W561" s="1">
        <v>44355</v>
      </c>
    </row>
    <row r="562" spans="1:23" x14ac:dyDescent="0.25">
      <c r="A562" t="s">
        <v>2469</v>
      </c>
      <c r="B562" s="1">
        <v>45756</v>
      </c>
      <c r="C562" t="s">
        <v>542</v>
      </c>
      <c r="D562" t="s">
        <v>65</v>
      </c>
      <c r="E562" t="s">
        <v>24</v>
      </c>
      <c r="F562">
        <v>238</v>
      </c>
      <c r="G562" t="s">
        <v>61</v>
      </c>
      <c r="H562">
        <v>78.623099999999994</v>
      </c>
      <c r="I562">
        <v>-2868578.69</v>
      </c>
      <c r="J562" t="s">
        <v>116</v>
      </c>
      <c r="K562">
        <v>1854902977</v>
      </c>
      <c r="L562" t="s">
        <v>134</v>
      </c>
      <c r="M562" t="s">
        <v>57</v>
      </c>
      <c r="N562" t="s">
        <v>58</v>
      </c>
      <c r="O562" t="s">
        <v>30</v>
      </c>
      <c r="P562" t="s">
        <v>153</v>
      </c>
      <c r="Q562">
        <v>716530</v>
      </c>
      <c r="R562" t="s">
        <v>2359</v>
      </c>
      <c r="S562" t="s">
        <v>2470</v>
      </c>
      <c r="T562">
        <v>8461932022</v>
      </c>
      <c r="U562" t="s">
        <v>34</v>
      </c>
      <c r="V562" t="s">
        <v>2478</v>
      </c>
      <c r="W562" s="1">
        <v>45505</v>
      </c>
    </row>
    <row r="563" spans="1:23" x14ac:dyDescent="0.25">
      <c r="A563" t="s">
        <v>2471</v>
      </c>
      <c r="B563" s="1">
        <v>45576</v>
      </c>
      <c r="C563" t="s">
        <v>1480</v>
      </c>
      <c r="D563" t="s">
        <v>352</v>
      </c>
      <c r="E563" t="s">
        <v>73</v>
      </c>
      <c r="F563">
        <v>4.34</v>
      </c>
      <c r="G563" t="s">
        <v>292</v>
      </c>
      <c r="H563">
        <v>1</v>
      </c>
      <c r="I563">
        <v>-564894.48</v>
      </c>
      <c r="J563" t="s">
        <v>38</v>
      </c>
      <c r="K563">
        <v>7462108036</v>
      </c>
      <c r="L563" t="s">
        <v>39</v>
      </c>
      <c r="M563" t="s">
        <v>83</v>
      </c>
      <c r="N563" t="s">
        <v>84</v>
      </c>
      <c r="O563" t="s">
        <v>70</v>
      </c>
      <c r="P563" t="s">
        <v>107</v>
      </c>
      <c r="Q563">
        <v>806511</v>
      </c>
      <c r="R563" t="s">
        <v>1102</v>
      </c>
      <c r="S563" t="s">
        <v>1103</v>
      </c>
      <c r="T563">
        <v>-9883775602</v>
      </c>
      <c r="U563" t="s">
        <v>34</v>
      </c>
      <c r="V563" t="s">
        <v>2476</v>
      </c>
      <c r="W563" s="1">
        <v>42614</v>
      </c>
    </row>
    <row r="564" spans="1:23" x14ac:dyDescent="0.25">
      <c r="B564" s="1">
        <f>SUBTOTAL(109,Table1_2__4[Date])</f>
        <v>25609764</v>
      </c>
      <c r="C564">
        <f>SUBTOTAL(109,Table1_2__4[AccountID])</f>
        <v>0</v>
      </c>
      <c r="D564">
        <f>SUBTOTAL(109,Table1_2__4[AccountName])</f>
        <v>0</v>
      </c>
      <c r="E564">
        <f>SUBTOTAL(109,Table1_2__4[TransactionType])</f>
        <v>0</v>
      </c>
      <c r="F564">
        <f>SUBTOTAL(109,Table1_2__4[Amount])</f>
        <v>37686.65</v>
      </c>
      <c r="G564">
        <f>SUBTOTAL(109,Table1_2__4[Currency])</f>
        <v>0</v>
      </c>
      <c r="H564">
        <f>SUBTOTAL(109,Table1_2__4[ExchangeRate])</f>
        <v>26875.445100000019</v>
      </c>
      <c r="I564">
        <f>SUBTOTAL(109,Table1_2__4[Balance])</f>
        <v>-940484614.19999993</v>
      </c>
      <c r="J564">
        <f>SUBTOTAL(109,Table1_2__4[Merchant])</f>
        <v>0</v>
      </c>
      <c r="K564">
        <f>SUBTOTAL(109,Table1_2__4[MerchantPhone])</f>
        <v>1869671019631</v>
      </c>
      <c r="L564">
        <f>SUBTOTAL(109,Table1_2__4[MerchantEmail])</f>
        <v>0</v>
      </c>
      <c r="M564">
        <f>SUBTOTAL(109,Table1_2__4[Category])</f>
        <v>0</v>
      </c>
      <c r="N564">
        <f>SUBTOTAL(109,Table1_2__4[Subcategory])</f>
        <v>0</v>
      </c>
      <c r="O564">
        <f>SUBTOTAL(109,Table1_2__4[Country])</f>
        <v>0</v>
      </c>
      <c r="P564">
        <f>SUBTOTAL(109,Table1_2__4[City])</f>
        <v>0</v>
      </c>
      <c r="Q564">
        <f>SUBTOTAL(109,Table1_2__4[PostalCode])</f>
        <v>305816339</v>
      </c>
      <c r="R564">
        <f>SUBTOTAL(109,Table1_2__4[CardNumber])</f>
        <v>3.008652E+17</v>
      </c>
      <c r="S564">
        <f>SUBTOTAL(109,Table1_2__4[Email])</f>
        <v>0</v>
      </c>
      <c r="T564">
        <f>SUBTOTAL(109,Table1_2__4[Phone])</f>
        <v>1601931488853</v>
      </c>
      <c r="U564">
        <f>SUBTOTAL(109,Table1_2__4[IsFraud])</f>
        <v>0</v>
      </c>
      <c r="V564">
        <f>SUBTOTAL(109,Table1_2__4[Notes])</f>
        <v>0</v>
      </c>
      <c r="W564" s="1">
        <f>SUBTOTAL(109,Table1_2__4[CustomerSince])</f>
        <v>17760185</v>
      </c>
    </row>
  </sheetData>
  <conditionalFormatting sqref="B2:W56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{B49C2369-0567-47AD-8B6D-92BBBC1CC2F6}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9C2369-0567-47AD-8B6D-92BBBC1CC2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B2:W563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5B5B4A-8B56-47FC-8264-E9B59E84A3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Sheet6</vt:lpstr>
      <vt:lpstr>Sheet7</vt:lpstr>
      <vt:lpstr>Sheet8</vt:lpstr>
      <vt:lpstr>Sheet1</vt:lpstr>
      <vt:lpstr>Amount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2025-12-01T16:54:15Z</dcterms:created>
  <dcterms:modified xsi:type="dcterms:W3CDTF">2025-12-02T16:06:18Z</dcterms:modified>
</cp:coreProperties>
</file>